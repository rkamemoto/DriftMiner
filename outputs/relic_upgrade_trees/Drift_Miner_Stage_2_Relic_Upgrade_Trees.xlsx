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netorgft1664765-my.sharepoint.com/personal/ryan_kamemotofinancial_com/Documents/Documents/DriftMiner/outputs/relic_upgrade_trees/"/>
    </mc:Choice>
  </mc:AlternateContent>
  <xr:revisionPtr revIDLastSave="1" documentId="11_9BBD6B5ABBDC0921551E4F884456DED558506A46" xr6:coauthVersionLast="47" xr6:coauthVersionMax="47" xr10:uidLastSave="{B8D8B814-7FB3-4D82-9B50-90981FE845C4}"/>
  <bookViews>
    <workbookView xWindow="-110" yWindow="-110" windowWidth="19420" windowHeight="11500" activeTab="4" xr2:uid="{00000000-000D-0000-FFFF-FFFF00000000}"/>
  </bookViews>
  <sheets>
    <sheet name="Overview" sheetId="1" r:id="rId1"/>
    <sheet name="Homing Missile" sheetId="2" r:id="rId2"/>
    <sheet name="Flak Cannon" sheetId="3" r:id="rId3"/>
    <sheet name="EMP Pulse" sheetId="4" r:id="rId4"/>
    <sheet name="Railgun" sheetId="5" r:id="rId5"/>
    <sheet name="Gravity Well" sheetId="6" r:id="rId6"/>
    <sheet name="Drone Squadron" sheetId="7" r:id="rId7"/>
    <sheet name="Scatter Core" sheetId="8" r:id="rId8"/>
    <sheet name="Seeking Matrix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7" i="9" l="1"/>
  <c r="M8" i="9" s="1"/>
  <c r="M9" i="9" s="1"/>
  <c r="M10" i="9" s="1"/>
  <c r="M11" i="9" s="1"/>
  <c r="G12" i="1" s="1"/>
  <c r="F7" i="9"/>
  <c r="F8" i="9" s="1"/>
  <c r="F9" i="9" s="1"/>
  <c r="F10" i="9" s="1"/>
  <c r="F11" i="9" s="1"/>
  <c r="F12" i="1" s="1"/>
  <c r="M7" i="8"/>
  <c r="M8" i="8" s="1"/>
  <c r="M9" i="8" s="1"/>
  <c r="M10" i="8" s="1"/>
  <c r="M11" i="8" s="1"/>
  <c r="G11" i="1" s="1"/>
  <c r="F7" i="8"/>
  <c r="F8" i="8" s="1"/>
  <c r="F9" i="8" s="1"/>
  <c r="F10" i="8" s="1"/>
  <c r="F11" i="8" s="1"/>
  <c r="F11" i="1" s="1"/>
  <c r="M8" i="7"/>
  <c r="M9" i="7" s="1"/>
  <c r="M10" i="7" s="1"/>
  <c r="M11" i="7" s="1"/>
  <c r="G10" i="1" s="1"/>
  <c r="F8" i="7"/>
  <c r="F9" i="7" s="1"/>
  <c r="F10" i="7" s="1"/>
  <c r="F11" i="7" s="1"/>
  <c r="F10" i="1" s="1"/>
  <c r="M7" i="7"/>
  <c r="F7" i="7"/>
  <c r="M7" i="6"/>
  <c r="M8" i="6" s="1"/>
  <c r="M9" i="6" s="1"/>
  <c r="M10" i="6" s="1"/>
  <c r="M11" i="6" s="1"/>
  <c r="G9" i="1" s="1"/>
  <c r="F7" i="6"/>
  <c r="F8" i="6" s="1"/>
  <c r="F9" i="6" s="1"/>
  <c r="F10" i="6" s="1"/>
  <c r="F11" i="6" s="1"/>
  <c r="F9" i="1" s="1"/>
  <c r="M7" i="5"/>
  <c r="M8" i="5" s="1"/>
  <c r="M9" i="5" s="1"/>
  <c r="M10" i="5" s="1"/>
  <c r="M11" i="5" s="1"/>
  <c r="G8" i="1" s="1"/>
  <c r="F7" i="5"/>
  <c r="F8" i="5" s="1"/>
  <c r="F9" i="5" s="1"/>
  <c r="F10" i="5" s="1"/>
  <c r="F11" i="5" s="1"/>
  <c r="F8" i="1" s="1"/>
  <c r="M7" i="4"/>
  <c r="M8" i="4" s="1"/>
  <c r="M9" i="4" s="1"/>
  <c r="M10" i="4" s="1"/>
  <c r="M11" i="4" s="1"/>
  <c r="G7" i="1" s="1"/>
  <c r="F7" i="4"/>
  <c r="F8" i="4" s="1"/>
  <c r="F9" i="4" s="1"/>
  <c r="F10" i="4" s="1"/>
  <c r="F11" i="4" s="1"/>
  <c r="F7" i="1" s="1"/>
  <c r="M7" i="3"/>
  <c r="M8" i="3" s="1"/>
  <c r="M9" i="3" s="1"/>
  <c r="M10" i="3" s="1"/>
  <c r="M11" i="3" s="1"/>
  <c r="G6" i="1" s="1"/>
  <c r="F7" i="3"/>
  <c r="F8" i="3" s="1"/>
  <c r="F9" i="3" s="1"/>
  <c r="F10" i="3" s="1"/>
  <c r="F11" i="3" s="1"/>
  <c r="F6" i="1" s="1"/>
  <c r="M7" i="2"/>
  <c r="M8" i="2" s="1"/>
  <c r="M9" i="2" s="1"/>
  <c r="M10" i="2" s="1"/>
  <c r="M11" i="2" s="1"/>
  <c r="G5" i="1" s="1"/>
  <c r="F7" i="2"/>
  <c r="F8" i="2" s="1"/>
  <c r="F9" i="2" s="1"/>
  <c r="F10" i="2" s="1"/>
  <c r="F11" i="2" s="1"/>
  <c r="F5" i="1" s="1"/>
</calcChain>
</file>

<file path=xl/sharedStrings.xml><?xml version="1.0" encoding="utf-8"?>
<sst xmlns="http://schemas.openxmlformats.org/spreadsheetml/2006/main" count="583" uniqueCount="335">
  <si>
    <t>Drift Miner Stage 2 - Relic Upgrade Trees</t>
  </si>
  <si>
    <t>Editable design workbook: two five-tier paths for each relic. Costs and effects are starting proposals.</t>
  </si>
  <si>
    <t>Relic</t>
  </si>
  <si>
    <t>Combat Role</t>
  </si>
  <si>
    <t>Control</t>
  </si>
  <si>
    <t>Path A</t>
  </si>
  <si>
    <t>Path B</t>
  </si>
  <si>
    <t>Path A Cost</t>
  </si>
  <si>
    <t>Path B Cost</t>
  </si>
  <si>
    <t>Design Intent</t>
  </si>
  <si>
    <t>Homing Missile</t>
  </si>
  <si>
    <t>Heavy guided salvo</t>
  </si>
  <si>
    <t>Y / H</t>
  </si>
  <si>
    <t>Swarm Doctrine</t>
  </si>
  <si>
    <t>Siege Warheads</t>
  </si>
  <si>
    <t>More missiles, faster reacquisition, and broad target coverage. / Fewer compromises: heavier impacts, boss damage, and explosive payloads.</t>
  </si>
  <si>
    <t>Flak Cannon</t>
  </si>
  <si>
    <t>Cluster-clearing artillery</t>
  </si>
  <si>
    <t>X / F</t>
  </si>
  <si>
    <t>Saturation Barrage</t>
  </si>
  <si>
    <t>Area Denial</t>
  </si>
  <si>
    <t>More shells and better coverage against large formations. / Bigger blasts, lingering shrapnel, and stronger payload interception.</t>
  </si>
  <si>
    <t>EMP Pulse</t>
  </si>
  <si>
    <t>Non-damaging battlefield control</t>
  </si>
  <si>
    <t>Right Stick Click / R</t>
  </si>
  <si>
    <t>Lockdown Field</t>
  </si>
  <si>
    <t>System Sabotage</t>
  </si>
  <si>
    <t>Longer, stronger slowing and broader control of the whole screen. / EMP remains non-damaging but makes enemies easier to destroy.</t>
  </si>
  <si>
    <t>Railgun</t>
  </si>
  <si>
    <t>High-power piercing lane attack</t>
  </si>
  <si>
    <t>B / E</t>
  </si>
  <si>
    <t>Capacitor Cascade</t>
  </si>
  <si>
    <t>Singularity Lance</t>
  </si>
  <si>
    <t>Multiple pulses, wider coverage, and repeated lane clearing. / One enormous shot optimized for bosses and armored targets.</t>
  </si>
  <si>
    <t>Gravity Well</t>
  </si>
  <si>
    <t>Formation control and payload capture</t>
  </si>
  <si>
    <t>LT / G</t>
  </si>
  <si>
    <t>Compression Field</t>
  </si>
  <si>
    <t>Orbital Control</t>
  </si>
  <si>
    <t>Crushes targets together and increases damage inside the well. / Larger wells, longer duration, and multiple placement options.</t>
  </si>
  <si>
    <t>Drone Squadron</t>
  </si>
  <si>
    <t>Permanent autonomous support</t>
  </si>
  <si>
    <t>Passive</t>
  </si>
  <si>
    <t>Interceptor Wing</t>
  </si>
  <si>
    <t>Support Network</t>
  </si>
  <si>
    <t>Improves combat performance and prioritizes dangerous payloads. / Improves salvage collection, repairs, and defensive utility.</t>
  </si>
  <si>
    <t>Scatter Core</t>
  </si>
  <si>
    <t>Unguided multi-shot main weapon</t>
  </si>
  <si>
    <t>Fusillade Array</t>
  </si>
  <si>
    <t>Fragmentation Core</t>
  </si>
  <si>
    <t>Adds more projectiles and wider coverage. / Keeps a tighter volley but adds impact effects and penetration.</t>
  </si>
  <si>
    <t>Seeking Matrix</t>
  </si>
  <si>
    <t>Homing main-weapon mutation</t>
  </si>
  <si>
    <t>Guidance Matrix</t>
  </si>
  <si>
    <t>Hunter Matrix</t>
  </si>
  <si>
    <t>Improves tracking, reacquisition, and multi-target performance. / Trades some broad tracking for penetration and priority-target damage.</t>
  </si>
  <si>
    <t>Suggested implementation: recover the relic at Level 1, then spend carapaces between waves. A branch-selection rule can be added later without changing the workbook structure.</t>
  </si>
  <si>
    <t>Homing Missile Upgrade Tree</t>
  </si>
  <si>
    <t>Heavy guided salvo | Control: Y / H</t>
  </si>
  <si>
    <t>More missiles, faster reacquisition, and broad target coverage.</t>
  </si>
  <si>
    <t>Fewer compromises: heavier impacts, boss damage, and explosive payloads.</t>
  </si>
  <si>
    <t>Tier</t>
  </si>
  <si>
    <t>Upgrade</t>
  </si>
  <si>
    <t>Description</t>
  </si>
  <si>
    <t>Numerical Change</t>
  </si>
  <si>
    <t>Cost</t>
  </si>
  <si>
    <t>Cumulative</t>
  </si>
  <si>
    <t>Expanded Racks</t>
  </si>
  <si>
    <t>Adds two missiles to each salvo.</t>
  </si>
  <si>
    <t>+2 missiles</t>
  </si>
  <si>
    <t>Dense Warheads</t>
  </si>
  <si>
    <t>Increases missile impact damage.</t>
  </si>
  <si>
    <t>+25% missile damage</t>
  </si>
  <si>
    <t>Distributed Locks</t>
  </si>
  <si>
    <t>Missiles divide themselves across more separate targets.</t>
  </si>
  <si>
    <t>Improved target distribution</t>
  </si>
  <si>
    <t>Breach Guidance</t>
  </si>
  <si>
    <t>Missiles deal increased damage to elites and bosses.</t>
  </si>
  <si>
    <t>+35% elite/boss damage</t>
  </si>
  <si>
    <t>Rapid Reacquisition</t>
  </si>
  <si>
    <t>A missile that loses its target immediately seeks another.</t>
  </si>
  <si>
    <t>Faster retargeting</t>
  </si>
  <si>
    <t>Cluster Charge</t>
  </si>
  <si>
    <t>Missile impacts damage nearby ships and payloads.</t>
  </si>
  <si>
    <t>70 px blast, 35% splash</t>
  </si>
  <si>
    <t>Cascade Launch</t>
  </si>
  <si>
    <t>Destroyed targets release a small secondary seeker.</t>
  </si>
  <si>
    <t>1 micro-missile per kill</t>
  </si>
  <si>
    <t>Tandem Detonation</t>
  </si>
  <si>
    <t>Each missile detonates a second time after impact.</t>
  </si>
  <si>
    <t>Second blast at 50%</t>
  </si>
  <si>
    <t>Hunter Swarm</t>
  </si>
  <si>
    <t>Launches an additional wave shortly after the first.</t>
  </si>
  <si>
    <t>Second wave at 45% power</t>
  </si>
  <si>
    <t>Siege Breaker</t>
  </si>
  <si>
    <t>The central missile becomes a massive boss-killing warhead.</t>
  </si>
  <si>
    <t>3x central missile damage</t>
  </si>
  <si>
    <t>Branch rule: tiers are sequential; choose whether branches are exclusive or mixable during implementation.</t>
  </si>
  <si>
    <t>Designer Notes</t>
  </si>
  <si>
    <t>Editable notes: tune numerical values, branch exclusivity, and prerequisite rules after playtesting.</t>
  </si>
  <si>
    <t>Flak Cannon Upgrade Tree</t>
  </si>
  <si>
    <t>Cluster-clearing artillery | Control: X / F</t>
  </si>
  <si>
    <t>More shells and better coverage against large formations.</t>
  </si>
  <si>
    <t>Bigger blasts, lingering shrapnel, and stronger payload interception.</t>
  </si>
  <si>
    <t>Expanded Battery</t>
  </si>
  <si>
    <t>Adds one shell to every flak salvo.</t>
  </si>
  <si>
    <t>+1 shell</t>
  </si>
  <si>
    <t>Shrapnel Payload</t>
  </si>
  <si>
    <t>Increases blast damage and radius.</t>
  </si>
  <si>
    <t>+20% damage, +15% radius</t>
  </si>
  <si>
    <t>Wide Pattern</t>
  </si>
  <si>
    <t>Shells distribute themselves across more targets.</t>
  </si>
  <si>
    <t>Wider target spread</t>
  </si>
  <si>
    <t>Payload Interceptor</t>
  </si>
  <si>
    <t>Flak deals increased damage to alien bombs and plasma.</t>
  </si>
  <si>
    <t>+60% payload damage</t>
  </si>
  <si>
    <t>Proximity Fuses</t>
  </si>
  <si>
    <t>Shells detonate early when passing close to an alien.</t>
  </si>
  <si>
    <t>+28 px trigger radius</t>
  </si>
  <si>
    <t>Burning Fragments</t>
  </si>
  <si>
    <t>Blast zones linger and damage ships passing through.</t>
  </si>
  <si>
    <t>2.5 sec hazard field</t>
  </si>
  <si>
    <t>Chain Barrage</t>
  </si>
  <si>
    <t>The salvo launches a delayed second group of shells.</t>
  </si>
  <si>
    <t>Second group at 45% power</t>
  </si>
  <si>
    <t>Cluster Shrapnel</t>
  </si>
  <si>
    <t>Destroyed payloads throw fragments into nearby aliens.</t>
  </si>
  <si>
    <t>4 fragments per payload</t>
  </si>
  <si>
    <t>Sky Saturation</t>
  </si>
  <si>
    <t>Every visible cluster receives at least one shell.</t>
  </si>
  <si>
    <t>Maximum target coverage</t>
  </si>
  <si>
    <t>No-Fly Zone</t>
  </si>
  <si>
    <t>Flak fields overlap into a large persistent defensive canopy.</t>
  </si>
  <si>
    <t>5 sec combined field</t>
  </si>
  <si>
    <t>EMP Pulse Upgrade Tree</t>
  </si>
  <si>
    <t>Non-damaging battlefield control | Control: Right Stick Click / R</t>
  </si>
  <si>
    <t>Longer, stronger slowing and broader control of the whole screen.</t>
  </si>
  <si>
    <t>EMP remains non-damaging but makes enemies easier to destroy.</t>
  </si>
  <si>
    <t>Field Amplifier</t>
  </si>
  <si>
    <t>Increases EMP disruption duration.</t>
  </si>
  <si>
    <t>+1.0 sec duration</t>
  </si>
  <si>
    <t>Sensor Blackout</t>
  </si>
  <si>
    <t>Disrupted ships wobble less predictably and cannot release payloads.</t>
  </si>
  <si>
    <t>Payload launch disabled</t>
  </si>
  <si>
    <t>Deep Suppression</t>
  </si>
  <si>
    <t>Affected ships move even more slowly.</t>
  </si>
  <si>
    <t>Speed reduced to 4%</t>
  </si>
  <si>
    <t>Shield Collapse</t>
  </si>
  <si>
    <t>Disrupted targets take additional weapon damage.</t>
  </si>
  <si>
    <t>+15% incoming damage</t>
  </si>
  <si>
    <t>Payload Arrest</t>
  </si>
  <si>
    <t>Alien payloads briefly stop instead of merely slowing.</t>
  </si>
  <si>
    <t>1.5 sec payload freeze</t>
  </si>
  <si>
    <t>Cascade Interference</t>
  </si>
  <si>
    <t>Destroying a disrupted enemy spreads EMP to nearby targets.</t>
  </si>
  <si>
    <t>100 px chain radius</t>
  </si>
  <si>
    <t>Residual Charge</t>
  </si>
  <si>
    <t>A weaker disruption lingers after the main pulse ends.</t>
  </si>
  <si>
    <t>3 sec at 40% strength</t>
  </si>
  <si>
    <t>Boss Override</t>
  </si>
  <si>
    <t>Boss weapons and movement are more heavily suppressed.</t>
  </si>
  <si>
    <t>+50% boss disruption</t>
  </si>
  <si>
    <t>Total Lockdown</t>
  </si>
  <si>
    <t>All targets freeze briefly before normal disruption begins.</t>
  </si>
  <si>
    <t>2 sec full freeze</t>
  </si>
  <si>
    <t>System Failure</t>
  </si>
  <si>
    <t>Disrupted targets lose all special abilities for the pulse duration.</t>
  </si>
  <si>
    <t>Abilities disabled</t>
  </si>
  <si>
    <t>Railgun Upgrade Tree</t>
  </si>
  <si>
    <t>High-power piercing lane attack | Control: B / E</t>
  </si>
  <si>
    <t>Multiple pulses, wider coverage, and repeated lane clearing.</t>
  </si>
  <si>
    <t>One enormous shot optimized for bosses and armored targets.</t>
  </si>
  <si>
    <t>Capacitor Echo</t>
  </si>
  <si>
    <t>Adds a second rail pulse after the first.</t>
  </si>
  <si>
    <t>Second pulse at 65%</t>
  </si>
  <si>
    <t>Rail Accelerator</t>
  </si>
  <si>
    <t>Increases base rail damage.</t>
  </si>
  <si>
    <t>+30% damage</t>
  </si>
  <si>
    <t>Wide Conduit</t>
  </si>
  <si>
    <t>Increases beam width.</t>
  </si>
  <si>
    <t>+24 px beam width</t>
  </si>
  <si>
    <t>Tungsten Lance</t>
  </si>
  <si>
    <t>Greatly increases boss and elite damage.</t>
  </si>
  <si>
    <t>+60% elite/boss damage</t>
  </si>
  <si>
    <t>Triple Discharge</t>
  </si>
  <si>
    <t>Adds a third pulse to the firing sequence.</t>
  </si>
  <si>
    <t>Third pulse at 55%</t>
  </si>
  <si>
    <t>Payload Vaporizer</t>
  </si>
  <si>
    <t>Railgun instantly destroys most non-boss payloads.</t>
  </si>
  <si>
    <t>4x payload damage</t>
  </si>
  <si>
    <t>Resonant Channel</t>
  </si>
  <si>
    <t>Each hit slightly strengthens the next pulse.</t>
  </si>
  <si>
    <t>+8% per prior hit</t>
  </si>
  <si>
    <t>Critical Channel</t>
  </si>
  <si>
    <t>Targets near the beam center take additional damage.</t>
  </si>
  <si>
    <t>+50% centerline damage</t>
  </si>
  <si>
    <t>Storm Rail</t>
  </si>
  <si>
    <t>Fires five rapid pulses across a very wide lane.</t>
  </si>
  <si>
    <t>5-pulse sequence</t>
  </si>
  <si>
    <t>3.5x damage, narrower beam</t>
  </si>
  <si>
    <t>Gravity Well Upgrade Tree</t>
  </si>
  <si>
    <t>Formation control and payload capture | Control: LT / G</t>
  </si>
  <si>
    <t>Crushes targets together and increases damage inside the well.</t>
  </si>
  <si>
    <t>Larger wells, longer duration, and multiple placement options.</t>
  </si>
  <si>
    <t>Crushing Field</t>
  </si>
  <si>
    <t>Adds continuous damage inside the gravity well.</t>
  </si>
  <si>
    <t>+35 damage/sec</t>
  </si>
  <si>
    <t>Expanded Singularity</t>
  </si>
  <si>
    <t>Increases gravity well radius.</t>
  </si>
  <si>
    <t>+25% radius</t>
  </si>
  <si>
    <t>Tidal Stress</t>
  </si>
  <si>
    <t>Targets closer to the center take more damage.</t>
  </si>
  <si>
    <t>Up to 2x center damage</t>
  </si>
  <si>
    <t>Stable Orbit</t>
  </si>
  <si>
    <t>Increases well duration.</t>
  </si>
  <si>
    <t>+2 sec duration</t>
  </si>
  <si>
    <t>Payload Collapse</t>
  </si>
  <si>
    <t>Alien payloads take increased gravity damage.</t>
  </si>
  <si>
    <t>+75% payload damage</t>
  </si>
  <si>
    <t>Vector Pull</t>
  </si>
  <si>
    <t>Pull strength increases and affects faster ships.</t>
  </si>
  <si>
    <t>+35% pull strength</t>
  </si>
  <si>
    <t>Compression Burst</t>
  </si>
  <si>
    <t>The well explodes when it expires.</t>
  </si>
  <si>
    <t>180 final blast damage</t>
  </si>
  <si>
    <t>Twin Wells</t>
  </si>
  <si>
    <t>Deploys two smaller wells around the aiming point.</t>
  </si>
  <si>
    <t>2 wells at 75% size</t>
  </si>
  <si>
    <t>Event Horizon</t>
  </si>
  <si>
    <t>Targets at the center are briefly trapped and heavily damaged.</t>
  </si>
  <si>
    <t>2 sec center trap</t>
  </si>
  <si>
    <t>Orbital Prison</t>
  </si>
  <si>
    <t>Creates a long-duration field that follows the densest cluster.</t>
  </si>
  <si>
    <t>Tracking 8 sec well</t>
  </si>
  <si>
    <t>Drone Squadron Upgrade Tree</t>
  </si>
  <si>
    <t>Permanent autonomous support | Control: Passive</t>
  </si>
  <si>
    <t>Improves combat performance and prioritizes dangerous payloads.</t>
  </si>
  <si>
    <t>Improves salvage collection, repairs, and defensive utility.</t>
  </si>
  <si>
    <t>Combat Drones</t>
  </si>
  <si>
    <t>Increases drone shot damage.</t>
  </si>
  <si>
    <t>+25% drone damage</t>
  </si>
  <si>
    <t>Salvage Network</t>
  </si>
  <si>
    <t>Increases drone pickup range.</t>
  </si>
  <si>
    <t>+50% collection radius</t>
  </si>
  <si>
    <t>Interceptor Logic</t>
  </si>
  <si>
    <t>Drones prioritize bombs and plasma over ships.</t>
  </si>
  <si>
    <t>Payload priority</t>
  </si>
  <si>
    <t>Cargo Relay</t>
  </si>
  <si>
    <t>Collected debris is worth more.</t>
  </si>
  <si>
    <t>+20% debris value</t>
  </si>
  <si>
    <t>Coordinated Fire</t>
  </si>
  <si>
    <t>Multiple drones focus damaged priority targets.</t>
  </si>
  <si>
    <t>Shared target logic</t>
  </si>
  <si>
    <t>Repair Wing</t>
  </si>
  <si>
    <t>Drones slowly restore base integrity.</t>
  </si>
  <si>
    <t>+1.2 HP/sec</t>
  </si>
  <si>
    <t>Point Defense</t>
  </si>
  <si>
    <t>Drones can destroy nearby hostile shots instantly on a timer.</t>
  </si>
  <si>
    <t>1 intercept per 5 sec</t>
  </si>
  <si>
    <t>Emergency Patch</t>
  </si>
  <si>
    <t>Drones repair the base after a payload impact.</t>
  </si>
  <si>
    <t>Restore 20% of hit damage</t>
  </si>
  <si>
    <t>Guardian Wing</t>
  </si>
  <si>
    <t>Adds two elite drones with stronger weapons.</t>
  </si>
  <si>
    <t>+2 elite drones</t>
  </si>
  <si>
    <t>Autonomous Foundry</t>
  </si>
  <si>
    <t>Drones periodically create one debris during combat.</t>
  </si>
  <si>
    <t>1 debris per 18 sec</t>
  </si>
  <si>
    <t>Scatter Core Upgrade Tree</t>
  </si>
  <si>
    <t>Unguided multi-shot main weapon | Control: Passive</t>
  </si>
  <si>
    <t>Adds more projectiles and wider coverage.</t>
  </si>
  <si>
    <t>Keeps a tighter volley but adds impact effects and penetration.</t>
  </si>
  <si>
    <t>Triple Volley</t>
  </si>
  <si>
    <t>Converts the cannon into a three-shot spread.</t>
  </si>
  <si>
    <t>3 projectiles</t>
  </si>
  <si>
    <t>Tight Formation</t>
  </si>
  <si>
    <t>Narrows the spread and improves individual projectile damage.</t>
  </si>
  <si>
    <t>+12% pellet damage</t>
  </si>
  <si>
    <t>Wide Formation</t>
  </si>
  <si>
    <t>Increases spacing between spread projectiles.</t>
  </si>
  <si>
    <t>+30% spread angle</t>
  </si>
  <si>
    <t>Dense Pellets</t>
  </si>
  <si>
    <t>Spread projectiles deal increased payload damage.</t>
  </si>
  <si>
    <t>+40% payload damage</t>
  </si>
  <si>
    <t>Expands the volley to five projectiles.</t>
  </si>
  <si>
    <t>5 projectiles</t>
  </si>
  <si>
    <t>Fragmenting Volley</t>
  </si>
  <si>
    <t>Impacts damage nearby targets.</t>
  </si>
  <si>
    <t>45 px splash</t>
  </si>
  <si>
    <t>Wing Cannons</t>
  </si>
  <si>
    <t>Adds two low-damage outer projectiles.</t>
  </si>
  <si>
    <t>7 projectiles</t>
  </si>
  <si>
    <t>Shatter Rounds</t>
  </si>
  <si>
    <t>Destroyed payloads create damaging fragments.</t>
  </si>
  <si>
    <t>3 fragments</t>
  </si>
  <si>
    <t>Barrage Core</t>
  </si>
  <si>
    <t>Fires nine projectiles in a broad defensive fan.</t>
  </si>
  <si>
    <t>9 projectiles</t>
  </si>
  <si>
    <t>Breach Volley</t>
  </si>
  <si>
    <t>Every pellet penetrates one additional target.</t>
  </si>
  <si>
    <t>+1 penetration</t>
  </si>
  <si>
    <t>Seeking Matrix Upgrade Tree</t>
  </si>
  <si>
    <t>Homing main-weapon mutation | Control: Passive</t>
  </si>
  <si>
    <t>Improves tracking, reacquisition, and multi-target performance.</t>
  </si>
  <si>
    <t>Trades some broad tracking for penetration and priority-target damage.</t>
  </si>
  <si>
    <t>Vector Guidance</t>
  </si>
  <si>
    <t>Increases guided-round turning strength.</t>
  </si>
  <si>
    <t>+35% turn rate</t>
  </si>
  <si>
    <t>Hunter Rounds</t>
  </si>
  <si>
    <t>Guided rounds deal additional damage to elites.</t>
  </si>
  <si>
    <t>+25% elite damage</t>
  </si>
  <si>
    <t>Smart Reacquisition</t>
  </si>
  <si>
    <t>Rounds immediately seek a new target after a kill.</t>
  </si>
  <si>
    <t>Instant retarget</t>
  </si>
  <si>
    <t>Boss Lock</t>
  </si>
  <si>
    <t>Guided rounds prioritize bosses while one is present.</t>
  </si>
  <si>
    <t>Boss priority</t>
  </si>
  <si>
    <t>Distributed Guidance</t>
  </si>
  <si>
    <t>Spread projectiles prefer separate targets.</t>
  </si>
  <si>
    <t>Target distribution</t>
  </si>
  <si>
    <t>Piercing Guidance</t>
  </si>
  <si>
    <t>Guided rounds pass through one target.</t>
  </si>
  <si>
    <t>Predictive Pursuit</t>
  </si>
  <si>
    <t>Guided rounds lead moving targets.</t>
  </si>
  <si>
    <t>Motion prediction</t>
  </si>
  <si>
    <t>Weak-Point Logic</t>
  </si>
  <si>
    <t>Guided rounds gain damage after sustained tracking.</t>
  </si>
  <si>
    <t>Up to +35% damage</t>
  </si>
  <si>
    <t>Perfect Guidance</t>
  </si>
  <si>
    <t>Rounds can reverse once to acquire a missed target.</t>
  </si>
  <si>
    <t>One reversal</t>
  </si>
  <si>
    <t>Execution Matrix</t>
  </si>
  <si>
    <t>Low-health elites and bosses take greatly increased damage.</t>
  </si>
  <si>
    <t>+80% below 20% HP</t>
  </si>
  <si>
    <t>Condenses the sequence into one devastating narrow beam. Beam stays active for 5 seconds.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</si>
</sst>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name val="Carlito"/>
    </font>
    <font>
      <i/>
      <sz val="10"/>
      <color rgb="FFA9B5BA"/>
      <name val="Carlito"/>
    </font>
    <font>
      <b/>
      <sz val="18"/>
      <color rgb="FFF3F1E8"/>
      <name val="Aptos"/>
    </font>
    <font>
      <sz val="11"/>
      <name val="Aptos"/>
    </font>
    <font>
      <i/>
      <sz val="10"/>
      <color rgb="FFA9B5BA"/>
      <name val="Aptos"/>
    </font>
    <font>
      <b/>
      <sz val="11"/>
      <color rgb="FFF3F1E8"/>
      <name val="Aptos"/>
    </font>
    <font>
      <sz val="9"/>
      <color rgb="FFF3F1E8"/>
      <name val="Aptos"/>
    </font>
    <font>
      <b/>
      <sz val="9"/>
      <color rgb="FF17324D"/>
      <name val="Aptos"/>
    </font>
    <font>
      <i/>
      <sz val="11"/>
      <color rgb="FFF2C45B"/>
      <name val="Aptos"/>
    </font>
    <font>
      <b/>
      <sz val="13"/>
      <color rgb="FFF3F1E8"/>
      <name val="Aptos"/>
    </font>
    <font>
      <i/>
      <sz val="9"/>
      <color rgb="FFA9B5BA"/>
      <name val="Aptos"/>
    </font>
    <font>
      <b/>
      <sz val="11"/>
      <color rgb="FFF2C45B"/>
      <name val="Aptos"/>
    </font>
    <font>
      <sz val="11"/>
      <color rgb="FF17324D"/>
      <name val="Aptos"/>
    </font>
  </fonts>
  <fills count="10">
    <fill>
      <patternFill patternType="none"/>
    </fill>
    <fill>
      <patternFill patternType="gray125"/>
    </fill>
    <fill>
      <patternFill patternType="solid">
        <fgColor rgb="FF10161A"/>
      </patternFill>
    </fill>
    <fill>
      <patternFill patternType="solid">
        <fgColor rgb="FF182126"/>
      </patternFill>
    </fill>
    <fill>
      <patternFill patternType="solid">
        <fgColor rgb="FFDDEBF7"/>
      </patternFill>
    </fill>
    <fill>
      <patternFill patternType="solid">
        <fgColor rgb="FF202B31"/>
      </patternFill>
    </fill>
    <fill>
      <patternFill patternType="solid">
        <fgColor rgb="FF1F5E5A"/>
      </patternFill>
    </fill>
    <fill>
      <patternFill patternType="solid">
        <fgColor rgb="FF263138"/>
      </patternFill>
    </fill>
    <fill>
      <patternFill patternType="solid">
        <fgColor rgb="FF725C20"/>
      </patternFill>
    </fill>
    <fill>
      <patternFill patternType="solid">
        <fgColor rgb="FFEAF2F8"/>
      </patternFill>
    </fill>
  </fills>
  <borders count="12">
    <border>
      <left/>
      <right/>
      <top/>
      <bottom/>
      <diagonal/>
    </border>
    <border>
      <left style="thin">
        <color rgb="FF40505B"/>
      </left>
      <right/>
      <top style="thin">
        <color rgb="FF40505B"/>
      </top>
      <bottom style="thin">
        <color rgb="FF40505B"/>
      </bottom>
      <diagonal/>
    </border>
    <border>
      <left/>
      <right/>
      <top style="thin">
        <color rgb="FF40505B"/>
      </top>
      <bottom style="thin">
        <color rgb="FF40505B"/>
      </bottom>
      <diagonal/>
    </border>
    <border>
      <left/>
      <right style="thin">
        <color rgb="FF40505B"/>
      </right>
      <top style="thin">
        <color rgb="FF40505B"/>
      </top>
      <bottom style="thin">
        <color rgb="FF40505B"/>
      </bottom>
      <diagonal/>
    </border>
    <border>
      <left/>
      <right/>
      <top/>
      <bottom style="thin">
        <color rgb="FF40505B"/>
      </bottom>
      <diagonal/>
    </border>
    <border>
      <left/>
      <right/>
      <top style="thin">
        <color rgb="FF40505B"/>
      </top>
      <bottom/>
      <diagonal/>
    </border>
    <border>
      <left style="thin">
        <color rgb="FF40505B"/>
      </left>
      <right/>
      <top style="thin">
        <color rgb="FF40505B"/>
      </top>
      <bottom/>
      <diagonal/>
    </border>
    <border>
      <left/>
      <right style="thin">
        <color rgb="FF40505B"/>
      </right>
      <top style="thin">
        <color rgb="FF40505B"/>
      </top>
      <bottom/>
      <diagonal/>
    </border>
    <border>
      <left style="thin">
        <color rgb="FF40505B"/>
      </left>
      <right/>
      <top/>
      <bottom/>
      <diagonal/>
    </border>
    <border>
      <left/>
      <right style="thin">
        <color rgb="FF40505B"/>
      </right>
      <top/>
      <bottom/>
      <diagonal/>
    </border>
    <border>
      <left style="thin">
        <color rgb="FF40505B"/>
      </left>
      <right/>
      <top/>
      <bottom style="thin">
        <color rgb="FF40505B"/>
      </bottom>
      <diagonal/>
    </border>
    <border>
      <left/>
      <right style="thin">
        <color rgb="FF40505B"/>
      </right>
      <top/>
      <bottom style="thin">
        <color rgb="FF40505B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3" fillId="0" borderId="0" xfId="0" applyFont="1"/>
    <xf numFmtId="0" fontId="5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vertical="top" wrapText="1"/>
    </xf>
    <xf numFmtId="1" fontId="7" fillId="4" borderId="4" xfId="0" applyNumberFormat="1" applyFont="1" applyFill="1" applyBorder="1" applyAlignment="1">
      <alignment horizontal="center" vertical="top" wrapText="1"/>
    </xf>
    <xf numFmtId="0" fontId="6" fillId="3" borderId="2" xfId="0" applyFont="1" applyFill="1" applyBorder="1" applyAlignment="1">
      <alignment vertical="top" wrapText="1"/>
    </xf>
    <xf numFmtId="1" fontId="7" fillId="4" borderId="2" xfId="0" applyNumberFormat="1" applyFont="1" applyFill="1" applyBorder="1" applyAlignment="1">
      <alignment horizontal="center" vertical="top" wrapText="1"/>
    </xf>
    <xf numFmtId="0" fontId="6" fillId="3" borderId="5" xfId="0" applyFont="1" applyFill="1" applyBorder="1" applyAlignment="1">
      <alignment vertical="top" wrapText="1"/>
    </xf>
    <xf numFmtId="1" fontId="7" fillId="4" borderId="5" xfId="0" applyNumberFormat="1" applyFont="1" applyFill="1" applyBorder="1" applyAlignment="1">
      <alignment horizontal="center" vertical="top" wrapText="1"/>
    </xf>
    <xf numFmtId="0" fontId="3" fillId="2" borderId="0" xfId="0" applyFont="1" applyFill="1"/>
    <xf numFmtId="0" fontId="6" fillId="3" borderId="4" xfId="0" applyFont="1" applyFill="1" applyBorder="1" applyAlignment="1">
      <alignment horizontal="center" vertical="top" wrapText="1"/>
    </xf>
    <xf numFmtId="1" fontId="6" fillId="3" borderId="4" xfId="0" applyNumberFormat="1" applyFont="1" applyFill="1" applyBorder="1" applyAlignment="1">
      <alignment horizontal="center" vertical="top" wrapText="1"/>
    </xf>
    <xf numFmtId="0" fontId="6" fillId="3" borderId="2" xfId="0" applyFont="1" applyFill="1" applyBorder="1" applyAlignment="1">
      <alignment horizontal="center" vertical="top" wrapText="1"/>
    </xf>
    <xf numFmtId="1" fontId="6" fillId="3" borderId="2" xfId="0" applyNumberFormat="1" applyFont="1" applyFill="1" applyBorder="1" applyAlignment="1">
      <alignment horizontal="center" vertical="top" wrapText="1"/>
    </xf>
    <xf numFmtId="0" fontId="2" fillId="2" borderId="0" xfId="0" applyFont="1" applyFill="1" applyAlignment="1">
      <alignment vertical="center"/>
    </xf>
    <xf numFmtId="0" fontId="3" fillId="0" borderId="0" xfId="0" applyFont="1"/>
    <xf numFmtId="0" fontId="4" fillId="3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8" fillId="5" borderId="0" xfId="0" applyFont="1" applyFill="1" applyAlignment="1">
      <alignment wrapText="1"/>
    </xf>
    <xf numFmtId="0" fontId="9" fillId="6" borderId="0" xfId="0" applyFont="1" applyFill="1" applyAlignment="1">
      <alignment horizontal="center" vertical="center"/>
    </xf>
    <xf numFmtId="0" fontId="10" fillId="5" borderId="0" xfId="0" applyFont="1" applyFill="1" applyAlignment="1">
      <alignment vertical="center" wrapText="1"/>
    </xf>
    <xf numFmtId="0" fontId="10" fillId="7" borderId="0" xfId="0" applyFont="1" applyFill="1" applyAlignment="1">
      <alignment wrapText="1"/>
    </xf>
    <xf numFmtId="0" fontId="9" fillId="8" borderId="0" xfId="0" applyFont="1" applyFill="1" applyAlignment="1">
      <alignment horizontal="center" vertical="center"/>
    </xf>
    <xf numFmtId="0" fontId="11" fillId="2" borderId="0" xfId="0" applyFont="1" applyFill="1"/>
    <xf numFmtId="0" fontId="12" fillId="9" borderId="6" xfId="0" applyFont="1" applyFill="1" applyBorder="1" applyAlignment="1">
      <alignment vertical="top" wrapText="1"/>
    </xf>
    <xf numFmtId="0" fontId="12" fillId="9" borderId="5" xfId="0" applyFont="1" applyFill="1" applyBorder="1" applyAlignment="1">
      <alignment vertical="top" wrapText="1"/>
    </xf>
    <xf numFmtId="0" fontId="12" fillId="9" borderId="7" xfId="0" applyFont="1" applyFill="1" applyBorder="1" applyAlignment="1">
      <alignment vertical="top" wrapText="1"/>
    </xf>
    <xf numFmtId="0" fontId="12" fillId="9" borderId="8" xfId="0" applyFont="1" applyFill="1" applyBorder="1" applyAlignment="1">
      <alignment vertical="top" wrapText="1"/>
    </xf>
    <xf numFmtId="0" fontId="12" fillId="9" borderId="0" xfId="0" applyFont="1" applyFill="1" applyAlignment="1">
      <alignment vertical="top" wrapText="1"/>
    </xf>
    <xf numFmtId="0" fontId="12" fillId="9" borderId="9" xfId="0" applyFont="1" applyFill="1" applyBorder="1" applyAlignment="1">
      <alignment vertical="top" wrapText="1"/>
    </xf>
    <xf numFmtId="0" fontId="12" fillId="9" borderId="10" xfId="0" applyFont="1" applyFill="1" applyBorder="1" applyAlignment="1">
      <alignment vertical="top" wrapText="1"/>
    </xf>
    <xf numFmtId="0" fontId="12" fillId="9" borderId="4" xfId="0" applyFont="1" applyFill="1" applyBorder="1" applyAlignment="1">
      <alignment vertical="top" wrapText="1"/>
    </xf>
    <xf numFmtId="0" fontId="12" fillId="9" borderId="1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0"/>
  <sheetViews>
    <sheetView showGridLines="0" workbookViewId="0">
      <selection activeCell="A5" sqref="A5"/>
    </sheetView>
  </sheetViews>
  <sheetFormatPr defaultRowHeight="14"/>
  <cols>
    <col min="1" max="1" width="22" customWidth="1"/>
    <col min="2" max="2" width="27" customWidth="1"/>
    <col min="3" max="3" width="22" customWidth="1"/>
    <col min="4" max="5" width="24" customWidth="1"/>
    <col min="6" max="7" width="13" customWidth="1"/>
    <col min="8" max="8" width="52" customWidth="1"/>
  </cols>
  <sheetData>
    <row r="1" spans="1:13" ht="34" customHeight="1">
      <c r="A1" s="16" t="s">
        <v>0</v>
      </c>
      <c r="B1" s="17"/>
      <c r="C1" s="17"/>
      <c r="D1" s="17"/>
      <c r="E1" s="17"/>
      <c r="F1" s="17"/>
      <c r="G1" s="17"/>
      <c r="H1" s="17"/>
    </row>
    <row r="2" spans="1:13" ht="28" customHeight="1">
      <c r="A2" s="18" t="s">
        <v>1</v>
      </c>
      <c r="B2" s="18" t="s">
        <v>1</v>
      </c>
      <c r="C2" s="18" t="s">
        <v>1</v>
      </c>
      <c r="D2" s="18" t="s">
        <v>1</v>
      </c>
      <c r="E2" s="18" t="s">
        <v>1</v>
      </c>
      <c r="F2" s="18" t="s">
        <v>1</v>
      </c>
      <c r="G2" s="18" t="s">
        <v>1</v>
      </c>
      <c r="H2" s="18" t="s">
        <v>1</v>
      </c>
      <c r="I2" s="19" t="s">
        <v>1</v>
      </c>
      <c r="J2" s="19" t="s">
        <v>1</v>
      </c>
      <c r="K2" s="19" t="s">
        <v>1</v>
      </c>
      <c r="L2" s="19" t="s">
        <v>1</v>
      </c>
      <c r="M2" s="19" t="s">
        <v>1</v>
      </c>
    </row>
    <row r="3" spans="1:13" ht="14.5">
      <c r="A3" s="1"/>
      <c r="B3" s="1"/>
      <c r="C3" s="1"/>
      <c r="D3" s="1"/>
      <c r="E3" s="1"/>
      <c r="F3" s="1"/>
      <c r="G3" s="1"/>
      <c r="H3" s="1"/>
    </row>
    <row r="4" spans="1:13" ht="14.5">
      <c r="A4" s="2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4" t="s">
        <v>9</v>
      </c>
    </row>
    <row r="5" spans="1:13" ht="42" customHeight="1">
      <c r="A5" s="5" t="s">
        <v>10</v>
      </c>
      <c r="B5" s="5" t="s">
        <v>11</v>
      </c>
      <c r="C5" s="5" t="s">
        <v>12</v>
      </c>
      <c r="D5" s="5" t="s">
        <v>13</v>
      </c>
      <c r="E5" s="5" t="s">
        <v>14</v>
      </c>
      <c r="F5" s="6">
        <f>'Homing Missile'!F11</f>
        <v>15</v>
      </c>
      <c r="G5" s="6">
        <f>'Homing Missile'!M11</f>
        <v>15</v>
      </c>
      <c r="H5" s="5" t="s">
        <v>15</v>
      </c>
    </row>
    <row r="6" spans="1:13" ht="42" customHeight="1">
      <c r="A6" s="7" t="s">
        <v>16</v>
      </c>
      <c r="B6" s="7" t="s">
        <v>17</v>
      </c>
      <c r="C6" s="7" t="s">
        <v>18</v>
      </c>
      <c r="D6" s="7" t="s">
        <v>19</v>
      </c>
      <c r="E6" s="7" t="s">
        <v>20</v>
      </c>
      <c r="F6" s="8">
        <f>'Flak Cannon'!F11</f>
        <v>15</v>
      </c>
      <c r="G6" s="8">
        <f>'Flak Cannon'!M11</f>
        <v>15</v>
      </c>
      <c r="H6" s="7" t="s">
        <v>21</v>
      </c>
    </row>
    <row r="7" spans="1:13" ht="42" customHeight="1">
      <c r="A7" s="7" t="s">
        <v>22</v>
      </c>
      <c r="B7" s="7" t="s">
        <v>23</v>
      </c>
      <c r="C7" s="7" t="s">
        <v>24</v>
      </c>
      <c r="D7" s="7" t="s">
        <v>25</v>
      </c>
      <c r="E7" s="7" t="s">
        <v>26</v>
      </c>
      <c r="F7" s="8">
        <f>'EMP Pulse'!F11</f>
        <v>15</v>
      </c>
      <c r="G7" s="8">
        <f>'EMP Pulse'!M11</f>
        <v>15</v>
      </c>
      <c r="H7" s="7" t="s">
        <v>27</v>
      </c>
    </row>
    <row r="8" spans="1:13" ht="42" customHeight="1">
      <c r="A8" s="7" t="s">
        <v>28</v>
      </c>
      <c r="B8" s="7" t="s">
        <v>29</v>
      </c>
      <c r="C8" s="7" t="s">
        <v>30</v>
      </c>
      <c r="D8" s="7" t="s">
        <v>31</v>
      </c>
      <c r="E8" s="7" t="s">
        <v>32</v>
      </c>
      <c r="F8" s="8">
        <f>Railgun!F11</f>
        <v>15</v>
      </c>
      <c r="G8" s="8">
        <f>Railgun!M11</f>
        <v>15</v>
      </c>
      <c r="H8" s="7" t="s">
        <v>33</v>
      </c>
    </row>
    <row r="9" spans="1:13" ht="42" customHeight="1">
      <c r="A9" s="7" t="s">
        <v>34</v>
      </c>
      <c r="B9" s="7" t="s">
        <v>35</v>
      </c>
      <c r="C9" s="7" t="s">
        <v>36</v>
      </c>
      <c r="D9" s="7" t="s">
        <v>37</v>
      </c>
      <c r="E9" s="7" t="s">
        <v>38</v>
      </c>
      <c r="F9" s="8">
        <f>'Gravity Well'!F11</f>
        <v>15</v>
      </c>
      <c r="G9" s="8">
        <f>'Gravity Well'!M11</f>
        <v>15</v>
      </c>
      <c r="H9" s="7" t="s">
        <v>39</v>
      </c>
    </row>
    <row r="10" spans="1:13" ht="42" customHeight="1">
      <c r="A10" s="7" t="s">
        <v>40</v>
      </c>
      <c r="B10" s="7" t="s">
        <v>41</v>
      </c>
      <c r="C10" s="7" t="s">
        <v>42</v>
      </c>
      <c r="D10" s="7" t="s">
        <v>43</v>
      </c>
      <c r="E10" s="7" t="s">
        <v>44</v>
      </c>
      <c r="F10" s="8">
        <f>'Drone Squadron'!F11</f>
        <v>15</v>
      </c>
      <c r="G10" s="8">
        <f>'Drone Squadron'!M11</f>
        <v>15</v>
      </c>
      <c r="H10" s="7" t="s">
        <v>45</v>
      </c>
    </row>
    <row r="11" spans="1:13" ht="42" customHeight="1">
      <c r="A11" s="7" t="s">
        <v>46</v>
      </c>
      <c r="B11" s="7" t="s">
        <v>47</v>
      </c>
      <c r="C11" s="7" t="s">
        <v>42</v>
      </c>
      <c r="D11" s="7" t="s">
        <v>48</v>
      </c>
      <c r="E11" s="7" t="s">
        <v>49</v>
      </c>
      <c r="F11" s="8">
        <f>'Scatter Core'!F11</f>
        <v>15</v>
      </c>
      <c r="G11" s="8">
        <f>'Scatter Core'!M11</f>
        <v>15</v>
      </c>
      <c r="H11" s="7" t="s">
        <v>50</v>
      </c>
    </row>
    <row r="12" spans="1:13" ht="42" customHeight="1">
      <c r="A12" s="9" t="s">
        <v>51</v>
      </c>
      <c r="B12" s="9" t="s">
        <v>52</v>
      </c>
      <c r="C12" s="9" t="s">
        <v>42</v>
      </c>
      <c r="D12" s="9" t="s">
        <v>53</v>
      </c>
      <c r="E12" s="9" t="s">
        <v>54</v>
      </c>
      <c r="F12" s="10">
        <f>'Seeking Matrix'!F11</f>
        <v>15</v>
      </c>
      <c r="G12" s="10">
        <f>'Seeking Matrix'!M11</f>
        <v>15</v>
      </c>
      <c r="H12" s="9" t="s">
        <v>55</v>
      </c>
    </row>
    <row r="13" spans="1:13" ht="14.5">
      <c r="A13" s="1"/>
      <c r="B13" s="1"/>
      <c r="C13" s="1"/>
      <c r="D13" s="1"/>
      <c r="E13" s="1"/>
      <c r="F13" s="1"/>
      <c r="G13" s="1"/>
      <c r="H13" s="1"/>
    </row>
    <row r="14" spans="1:13" ht="38" customHeight="1">
      <c r="A14" s="20" t="s">
        <v>56</v>
      </c>
      <c r="B14" s="20"/>
      <c r="C14" s="20"/>
      <c r="D14" s="20"/>
      <c r="E14" s="20"/>
      <c r="F14" s="20"/>
      <c r="G14" s="20"/>
      <c r="H14" s="20"/>
    </row>
    <row r="15" spans="1:13" ht="14.5">
      <c r="A15" s="1"/>
      <c r="B15" s="1"/>
      <c r="C15" s="1"/>
      <c r="D15" s="1"/>
      <c r="E15" s="1"/>
      <c r="F15" s="1"/>
      <c r="G15" s="1"/>
      <c r="H15" s="1"/>
    </row>
    <row r="16" spans="1:13" ht="14.5">
      <c r="A16" s="1"/>
      <c r="B16" s="1"/>
      <c r="C16" s="1"/>
      <c r="D16" s="1"/>
      <c r="E16" s="1"/>
      <c r="F16" s="1"/>
      <c r="G16" s="1"/>
      <c r="H16" s="1"/>
    </row>
    <row r="17" spans="1:8" ht="14.5">
      <c r="A17" s="1"/>
      <c r="B17" s="1"/>
      <c r="C17" s="1"/>
      <c r="D17" s="1"/>
      <c r="E17" s="1"/>
      <c r="F17" s="1"/>
      <c r="G17" s="1"/>
      <c r="H17" s="1"/>
    </row>
    <row r="18" spans="1:8" ht="14.5">
      <c r="A18" s="1"/>
      <c r="B18" s="1"/>
      <c r="C18" s="1"/>
      <c r="D18" s="1"/>
      <c r="E18" s="1"/>
      <c r="F18" s="1"/>
      <c r="G18" s="1"/>
      <c r="H18" s="1"/>
    </row>
    <row r="19" spans="1:8" ht="14.5">
      <c r="A19" s="1"/>
      <c r="B19" s="1"/>
      <c r="C19" s="1"/>
      <c r="D19" s="1"/>
      <c r="E19" s="1"/>
      <c r="F19" s="1"/>
      <c r="G19" s="1"/>
      <c r="H19" s="1"/>
    </row>
    <row r="20" spans="1:8" ht="14.5">
      <c r="A20" s="1"/>
      <c r="B20" s="1"/>
      <c r="C20" s="1"/>
      <c r="D20" s="1"/>
      <c r="E20" s="1"/>
      <c r="F20" s="1"/>
      <c r="G20" s="1"/>
      <c r="H20" s="1"/>
    </row>
  </sheetData>
  <mergeCells count="3">
    <mergeCell ref="A1:H1"/>
    <mergeCell ref="A2:M2"/>
    <mergeCell ref="A14:H1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0"/>
  <sheetViews>
    <sheetView showGridLines="0" topLeftCell="C4" workbookViewId="0">
      <selection sqref="A1:M1"/>
    </sheetView>
  </sheetViews>
  <sheetFormatPr defaultRowHeight="14"/>
  <cols>
    <col min="1" max="1" width="7" customWidth="1"/>
    <col min="2" max="2" width="22" customWidth="1"/>
    <col min="3" max="3" width="38" customWidth="1"/>
    <col min="4" max="4" width="25" customWidth="1"/>
    <col min="5" max="5" width="9" customWidth="1"/>
    <col min="6" max="6" width="12" customWidth="1"/>
    <col min="7" max="7" width="3" customWidth="1"/>
    <col min="8" max="8" width="7" customWidth="1"/>
    <col min="9" max="9" width="22" customWidth="1"/>
    <col min="10" max="10" width="38" customWidth="1"/>
    <col min="11" max="11" width="25" customWidth="1"/>
    <col min="12" max="12" width="9" customWidth="1"/>
    <col min="13" max="13" width="12" customWidth="1"/>
  </cols>
  <sheetData>
    <row r="1" spans="1:13" ht="34" customHeight="1">
      <c r="A1" s="16" t="s">
        <v>57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</row>
    <row r="2" spans="1:13" ht="28" customHeight="1">
      <c r="A2" s="18" t="s">
        <v>58</v>
      </c>
      <c r="B2" s="18" t="s">
        <v>58</v>
      </c>
      <c r="C2" s="18" t="s">
        <v>58</v>
      </c>
      <c r="D2" s="18" t="s">
        <v>58</v>
      </c>
      <c r="E2" s="18" t="s">
        <v>58</v>
      </c>
      <c r="F2" s="18" t="s">
        <v>58</v>
      </c>
      <c r="G2" s="18" t="s">
        <v>58</v>
      </c>
      <c r="H2" s="18" t="s">
        <v>58</v>
      </c>
      <c r="I2" s="18" t="s">
        <v>58</v>
      </c>
      <c r="J2" s="18" t="s">
        <v>58</v>
      </c>
      <c r="K2" s="18" t="s">
        <v>58</v>
      </c>
      <c r="L2" s="18" t="s">
        <v>58</v>
      </c>
      <c r="M2" s="18" t="s">
        <v>58</v>
      </c>
    </row>
    <row r="3" spans="1:13" ht="14.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ht="26" customHeight="1">
      <c r="A4" s="21" t="s">
        <v>13</v>
      </c>
      <c r="B4" s="21"/>
      <c r="C4" s="21"/>
      <c r="D4" s="21"/>
      <c r="E4" s="21"/>
      <c r="F4" s="21"/>
      <c r="G4" s="11"/>
      <c r="H4" s="24" t="s">
        <v>14</v>
      </c>
      <c r="I4" s="24"/>
      <c r="J4" s="24"/>
      <c r="K4" s="24"/>
      <c r="L4" s="24"/>
      <c r="M4" s="24"/>
    </row>
    <row r="5" spans="1:13" ht="34" customHeight="1">
      <c r="A5" s="22" t="s">
        <v>59</v>
      </c>
      <c r="B5" s="22"/>
      <c r="C5" s="22"/>
      <c r="D5" s="22"/>
      <c r="E5" s="22"/>
      <c r="F5" s="22"/>
      <c r="G5" s="11"/>
      <c r="H5" s="22" t="s">
        <v>60</v>
      </c>
      <c r="I5" s="22"/>
      <c r="J5" s="22"/>
      <c r="K5" s="22"/>
      <c r="L5" s="22"/>
      <c r="M5" s="22"/>
    </row>
    <row r="6" spans="1:13" ht="14.5">
      <c r="A6" s="2" t="s">
        <v>61</v>
      </c>
      <c r="B6" s="3" t="s">
        <v>62</v>
      </c>
      <c r="C6" s="3" t="s">
        <v>63</v>
      </c>
      <c r="D6" s="3" t="s">
        <v>64</v>
      </c>
      <c r="E6" s="3" t="s">
        <v>65</v>
      </c>
      <c r="F6" s="4" t="s">
        <v>66</v>
      </c>
      <c r="G6" s="11"/>
      <c r="H6" s="2" t="s">
        <v>61</v>
      </c>
      <c r="I6" s="3" t="s">
        <v>62</v>
      </c>
      <c r="J6" s="3" t="s">
        <v>63</v>
      </c>
      <c r="K6" s="3" t="s">
        <v>64</v>
      </c>
      <c r="L6" s="3" t="s">
        <v>65</v>
      </c>
      <c r="M6" s="4" t="s">
        <v>66</v>
      </c>
    </row>
    <row r="7" spans="1:13" ht="52" customHeight="1">
      <c r="A7" s="12">
        <v>1</v>
      </c>
      <c r="B7" s="5" t="s">
        <v>67</v>
      </c>
      <c r="C7" s="5" t="s">
        <v>68</v>
      </c>
      <c r="D7" s="5" t="s">
        <v>69</v>
      </c>
      <c r="E7" s="13">
        <v>1</v>
      </c>
      <c r="F7" s="13">
        <f>E7</f>
        <v>1</v>
      </c>
      <c r="G7" s="11"/>
      <c r="H7" s="12">
        <v>1</v>
      </c>
      <c r="I7" s="5" t="s">
        <v>70</v>
      </c>
      <c r="J7" s="5" t="s">
        <v>71</v>
      </c>
      <c r="K7" s="5" t="s">
        <v>72</v>
      </c>
      <c r="L7" s="13">
        <v>1</v>
      </c>
      <c r="M7" s="13">
        <f>L7</f>
        <v>1</v>
      </c>
    </row>
    <row r="8" spans="1:13" ht="52" customHeight="1">
      <c r="A8" s="14">
        <v>2</v>
      </c>
      <c r="B8" s="7" t="s">
        <v>73</v>
      </c>
      <c r="C8" s="7" t="s">
        <v>74</v>
      </c>
      <c r="D8" s="7" t="s">
        <v>75</v>
      </c>
      <c r="E8" s="15">
        <v>2</v>
      </c>
      <c r="F8" s="15">
        <f>F7+E8</f>
        <v>3</v>
      </c>
      <c r="G8" s="11"/>
      <c r="H8" s="14">
        <v>2</v>
      </c>
      <c r="I8" s="7" t="s">
        <v>76</v>
      </c>
      <c r="J8" s="7" t="s">
        <v>77</v>
      </c>
      <c r="K8" s="7" t="s">
        <v>78</v>
      </c>
      <c r="L8" s="15">
        <v>2</v>
      </c>
      <c r="M8" s="15">
        <f>M7+L8</f>
        <v>3</v>
      </c>
    </row>
    <row r="9" spans="1:13" ht="52" customHeight="1">
      <c r="A9" s="14">
        <v>3</v>
      </c>
      <c r="B9" s="7" t="s">
        <v>79</v>
      </c>
      <c r="C9" s="7" t="s">
        <v>80</v>
      </c>
      <c r="D9" s="7" t="s">
        <v>81</v>
      </c>
      <c r="E9" s="15">
        <v>3</v>
      </c>
      <c r="F9" s="15">
        <f>F8+E9</f>
        <v>6</v>
      </c>
      <c r="G9" s="11"/>
      <c r="H9" s="14">
        <v>3</v>
      </c>
      <c r="I9" s="7" t="s">
        <v>82</v>
      </c>
      <c r="J9" s="7" t="s">
        <v>83</v>
      </c>
      <c r="K9" s="7" t="s">
        <v>84</v>
      </c>
      <c r="L9" s="15">
        <v>3</v>
      </c>
      <c r="M9" s="15">
        <f>M8+L9</f>
        <v>6</v>
      </c>
    </row>
    <row r="10" spans="1:13" ht="52" customHeight="1">
      <c r="A10" s="14">
        <v>4</v>
      </c>
      <c r="B10" s="7" t="s">
        <v>85</v>
      </c>
      <c r="C10" s="7" t="s">
        <v>86</v>
      </c>
      <c r="D10" s="7" t="s">
        <v>87</v>
      </c>
      <c r="E10" s="15">
        <v>4</v>
      </c>
      <c r="F10" s="15">
        <f>F9+E10</f>
        <v>10</v>
      </c>
      <c r="G10" s="11"/>
      <c r="H10" s="14">
        <v>4</v>
      </c>
      <c r="I10" s="7" t="s">
        <v>88</v>
      </c>
      <c r="J10" s="7" t="s">
        <v>89</v>
      </c>
      <c r="K10" s="7" t="s">
        <v>90</v>
      </c>
      <c r="L10" s="15">
        <v>4</v>
      </c>
      <c r="M10" s="15">
        <f>M9+L10</f>
        <v>10</v>
      </c>
    </row>
    <row r="11" spans="1:13" ht="52" customHeight="1">
      <c r="A11" s="14">
        <v>5</v>
      </c>
      <c r="B11" s="7" t="s">
        <v>91</v>
      </c>
      <c r="C11" s="7" t="s">
        <v>92</v>
      </c>
      <c r="D11" s="7" t="s">
        <v>93</v>
      </c>
      <c r="E11" s="15">
        <v>5</v>
      </c>
      <c r="F11" s="15">
        <f>F10+E11</f>
        <v>15</v>
      </c>
      <c r="G11" s="11"/>
      <c r="H11" s="14">
        <v>5</v>
      </c>
      <c r="I11" s="7" t="s">
        <v>94</v>
      </c>
      <c r="J11" s="7" t="s">
        <v>95</v>
      </c>
      <c r="K11" s="7" t="s">
        <v>96</v>
      </c>
      <c r="L11" s="15">
        <v>5</v>
      </c>
      <c r="M11" s="15">
        <f>M10+L11</f>
        <v>15</v>
      </c>
    </row>
    <row r="12" spans="1:13" ht="14.5">
      <c r="A12" s="1"/>
      <c r="B12" s="1"/>
      <c r="C12" s="1"/>
      <c r="D12" s="1"/>
      <c r="E12" s="1"/>
      <c r="F12" s="1"/>
      <c r="G12" s="11"/>
      <c r="H12" s="1"/>
      <c r="I12" s="1"/>
      <c r="J12" s="1"/>
      <c r="K12" s="1"/>
      <c r="L12" s="1"/>
      <c r="M12" s="1"/>
    </row>
    <row r="13" spans="1:13" ht="30" customHeight="1">
      <c r="A13" s="23" t="s">
        <v>97</v>
      </c>
      <c r="B13" s="23"/>
      <c r="C13" s="23"/>
      <c r="D13" s="23"/>
      <c r="E13" s="23"/>
      <c r="F13" s="23"/>
      <c r="G13" s="11"/>
      <c r="H13" s="23" t="s">
        <v>97</v>
      </c>
      <c r="I13" s="23"/>
      <c r="J13" s="23"/>
      <c r="K13" s="23"/>
      <c r="L13" s="23"/>
      <c r="M13" s="23"/>
    </row>
    <row r="14" spans="1:13" ht="14.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</row>
    <row r="15" spans="1:13" ht="14.5">
      <c r="A15" s="25" t="s">
        <v>98</v>
      </c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</row>
    <row r="16" spans="1:13" ht="24" customHeight="1">
      <c r="A16" s="26" t="s">
        <v>99</v>
      </c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8"/>
    </row>
    <row r="17" spans="1:13" ht="24" customHeight="1">
      <c r="A17" s="29"/>
      <c r="B17" s="30"/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1"/>
    </row>
    <row r="18" spans="1:13" ht="24" customHeight="1">
      <c r="A18" s="29"/>
      <c r="B18" s="30"/>
      <c r="C18" s="30"/>
      <c r="D18" s="30"/>
      <c r="E18" s="30"/>
      <c r="F18" s="30"/>
      <c r="G18" s="30"/>
      <c r="H18" s="30"/>
      <c r="I18" s="30"/>
      <c r="J18" s="30"/>
      <c r="K18" s="30"/>
      <c r="L18" s="30"/>
      <c r="M18" s="31"/>
    </row>
    <row r="19" spans="1:13" ht="24" customHeight="1">
      <c r="A19" s="32"/>
      <c r="B19" s="33"/>
      <c r="C19" s="33"/>
      <c r="D19" s="33"/>
      <c r="E19" s="33"/>
      <c r="F19" s="33"/>
      <c r="G19" s="33"/>
      <c r="H19" s="33"/>
      <c r="I19" s="33"/>
      <c r="J19" s="33"/>
      <c r="K19" s="33"/>
      <c r="L19" s="33"/>
      <c r="M19" s="34"/>
    </row>
    <row r="20" spans="1:13" ht="14.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</row>
  </sheetData>
  <mergeCells count="10">
    <mergeCell ref="A15:M15"/>
    <mergeCell ref="A16:M19"/>
    <mergeCell ref="A1:M1"/>
    <mergeCell ref="A2:M2"/>
    <mergeCell ref="A4:F4"/>
    <mergeCell ref="A5:F5"/>
    <mergeCell ref="A13:F13"/>
    <mergeCell ref="H4:M4"/>
    <mergeCell ref="H5:M5"/>
    <mergeCell ref="H13:M1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0"/>
  <sheetViews>
    <sheetView showGridLines="0" topLeftCell="A4" workbookViewId="0">
      <selection sqref="A1:M1"/>
    </sheetView>
  </sheetViews>
  <sheetFormatPr defaultRowHeight="14"/>
  <cols>
    <col min="1" max="1" width="7" customWidth="1"/>
    <col min="2" max="2" width="22" customWidth="1"/>
    <col min="3" max="3" width="38" customWidth="1"/>
    <col min="4" max="4" width="25" customWidth="1"/>
    <col min="5" max="5" width="9" customWidth="1"/>
    <col min="6" max="6" width="12" customWidth="1"/>
    <col min="7" max="7" width="3" customWidth="1"/>
    <col min="8" max="8" width="7" customWidth="1"/>
    <col min="9" max="9" width="22" customWidth="1"/>
    <col min="10" max="10" width="38" customWidth="1"/>
    <col min="11" max="11" width="25" customWidth="1"/>
    <col min="12" max="12" width="9" customWidth="1"/>
    <col min="13" max="13" width="12" customWidth="1"/>
  </cols>
  <sheetData>
    <row r="1" spans="1:13" ht="34" customHeight="1">
      <c r="A1" s="16" t="s">
        <v>100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</row>
    <row r="2" spans="1:13" ht="28" customHeight="1">
      <c r="A2" s="18" t="s">
        <v>101</v>
      </c>
      <c r="B2" s="18" t="s">
        <v>101</v>
      </c>
      <c r="C2" s="18" t="s">
        <v>101</v>
      </c>
      <c r="D2" s="18" t="s">
        <v>101</v>
      </c>
      <c r="E2" s="18" t="s">
        <v>101</v>
      </c>
      <c r="F2" s="18" t="s">
        <v>101</v>
      </c>
      <c r="G2" s="18" t="s">
        <v>101</v>
      </c>
      <c r="H2" s="18" t="s">
        <v>101</v>
      </c>
      <c r="I2" s="18" t="s">
        <v>101</v>
      </c>
      <c r="J2" s="18" t="s">
        <v>101</v>
      </c>
      <c r="K2" s="18" t="s">
        <v>101</v>
      </c>
      <c r="L2" s="18" t="s">
        <v>101</v>
      </c>
      <c r="M2" s="18" t="s">
        <v>101</v>
      </c>
    </row>
    <row r="3" spans="1:13" ht="14.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ht="26" customHeight="1">
      <c r="A4" s="21" t="s">
        <v>19</v>
      </c>
      <c r="B4" s="21"/>
      <c r="C4" s="21"/>
      <c r="D4" s="21"/>
      <c r="E4" s="21"/>
      <c r="F4" s="21"/>
      <c r="G4" s="11"/>
      <c r="H4" s="24" t="s">
        <v>20</v>
      </c>
      <c r="I4" s="24"/>
      <c r="J4" s="24"/>
      <c r="K4" s="24"/>
      <c r="L4" s="24"/>
      <c r="M4" s="24"/>
    </row>
    <row r="5" spans="1:13" ht="34" customHeight="1">
      <c r="A5" s="22" t="s">
        <v>102</v>
      </c>
      <c r="B5" s="22"/>
      <c r="C5" s="22"/>
      <c r="D5" s="22"/>
      <c r="E5" s="22"/>
      <c r="F5" s="22"/>
      <c r="G5" s="11"/>
      <c r="H5" s="22" t="s">
        <v>103</v>
      </c>
      <c r="I5" s="22"/>
      <c r="J5" s="22"/>
      <c r="K5" s="22"/>
      <c r="L5" s="22"/>
      <c r="M5" s="22"/>
    </row>
    <row r="6" spans="1:13" ht="14.5">
      <c r="A6" s="2" t="s">
        <v>61</v>
      </c>
      <c r="B6" s="3" t="s">
        <v>62</v>
      </c>
      <c r="C6" s="3" t="s">
        <v>63</v>
      </c>
      <c r="D6" s="3" t="s">
        <v>64</v>
      </c>
      <c r="E6" s="3" t="s">
        <v>65</v>
      </c>
      <c r="F6" s="4" t="s">
        <v>66</v>
      </c>
      <c r="G6" s="11"/>
      <c r="H6" s="2" t="s">
        <v>61</v>
      </c>
      <c r="I6" s="3" t="s">
        <v>62</v>
      </c>
      <c r="J6" s="3" t="s">
        <v>63</v>
      </c>
      <c r="K6" s="3" t="s">
        <v>64</v>
      </c>
      <c r="L6" s="3" t="s">
        <v>65</v>
      </c>
      <c r="M6" s="4" t="s">
        <v>66</v>
      </c>
    </row>
    <row r="7" spans="1:13" ht="52" customHeight="1">
      <c r="A7" s="12">
        <v>1</v>
      </c>
      <c r="B7" s="5" t="s">
        <v>104</v>
      </c>
      <c r="C7" s="5" t="s">
        <v>105</v>
      </c>
      <c r="D7" s="5" t="s">
        <v>106</v>
      </c>
      <c r="E7" s="13">
        <v>1</v>
      </c>
      <c r="F7" s="13">
        <f>E7</f>
        <v>1</v>
      </c>
      <c r="G7" s="11"/>
      <c r="H7" s="12">
        <v>1</v>
      </c>
      <c r="I7" s="5" t="s">
        <v>107</v>
      </c>
      <c r="J7" s="5" t="s">
        <v>108</v>
      </c>
      <c r="K7" s="5" t="s">
        <v>109</v>
      </c>
      <c r="L7" s="13">
        <v>1</v>
      </c>
      <c r="M7" s="13">
        <f>L7</f>
        <v>1</v>
      </c>
    </row>
    <row r="8" spans="1:13" ht="52" customHeight="1">
      <c r="A8" s="14">
        <v>2</v>
      </c>
      <c r="B8" s="7" t="s">
        <v>110</v>
      </c>
      <c r="C8" s="7" t="s">
        <v>111</v>
      </c>
      <c r="D8" s="7" t="s">
        <v>112</v>
      </c>
      <c r="E8" s="15">
        <v>2</v>
      </c>
      <c r="F8" s="15">
        <f>F7+E8</f>
        <v>3</v>
      </c>
      <c r="G8" s="11"/>
      <c r="H8" s="14">
        <v>2</v>
      </c>
      <c r="I8" s="7" t="s">
        <v>113</v>
      </c>
      <c r="J8" s="7" t="s">
        <v>114</v>
      </c>
      <c r="K8" s="7" t="s">
        <v>115</v>
      </c>
      <c r="L8" s="15">
        <v>2</v>
      </c>
      <c r="M8" s="15">
        <f>M7+L8</f>
        <v>3</v>
      </c>
    </row>
    <row r="9" spans="1:13" ht="52" customHeight="1">
      <c r="A9" s="14">
        <v>3</v>
      </c>
      <c r="B9" s="7" t="s">
        <v>116</v>
      </c>
      <c r="C9" s="7" t="s">
        <v>117</v>
      </c>
      <c r="D9" s="7" t="s">
        <v>118</v>
      </c>
      <c r="E9" s="15">
        <v>3</v>
      </c>
      <c r="F9" s="15">
        <f>F8+E9</f>
        <v>6</v>
      </c>
      <c r="G9" s="11"/>
      <c r="H9" s="14">
        <v>3</v>
      </c>
      <c r="I9" s="7" t="s">
        <v>119</v>
      </c>
      <c r="J9" s="7" t="s">
        <v>120</v>
      </c>
      <c r="K9" s="7" t="s">
        <v>121</v>
      </c>
      <c r="L9" s="15">
        <v>3</v>
      </c>
      <c r="M9" s="15">
        <f>M8+L9</f>
        <v>6</v>
      </c>
    </row>
    <row r="10" spans="1:13" ht="52" customHeight="1">
      <c r="A10" s="14">
        <v>4</v>
      </c>
      <c r="B10" s="7" t="s">
        <v>122</v>
      </c>
      <c r="C10" s="7" t="s">
        <v>123</v>
      </c>
      <c r="D10" s="7" t="s">
        <v>124</v>
      </c>
      <c r="E10" s="15">
        <v>4</v>
      </c>
      <c r="F10" s="15">
        <f>F9+E10</f>
        <v>10</v>
      </c>
      <c r="G10" s="11"/>
      <c r="H10" s="14">
        <v>4</v>
      </c>
      <c r="I10" s="7" t="s">
        <v>125</v>
      </c>
      <c r="J10" s="7" t="s">
        <v>126</v>
      </c>
      <c r="K10" s="7" t="s">
        <v>127</v>
      </c>
      <c r="L10" s="15">
        <v>4</v>
      </c>
      <c r="M10" s="15">
        <f>M9+L10</f>
        <v>10</v>
      </c>
    </row>
    <row r="11" spans="1:13" ht="52" customHeight="1">
      <c r="A11" s="14">
        <v>5</v>
      </c>
      <c r="B11" s="7" t="s">
        <v>128</v>
      </c>
      <c r="C11" s="7" t="s">
        <v>129</v>
      </c>
      <c r="D11" s="7" t="s">
        <v>130</v>
      </c>
      <c r="E11" s="15">
        <v>5</v>
      </c>
      <c r="F11" s="15">
        <f>F10+E11</f>
        <v>15</v>
      </c>
      <c r="G11" s="11"/>
      <c r="H11" s="14">
        <v>5</v>
      </c>
      <c r="I11" s="7" t="s">
        <v>131</v>
      </c>
      <c r="J11" s="7" t="s">
        <v>132</v>
      </c>
      <c r="K11" s="7" t="s">
        <v>133</v>
      </c>
      <c r="L11" s="15">
        <v>5</v>
      </c>
      <c r="M11" s="15">
        <f>M10+L11</f>
        <v>15</v>
      </c>
    </row>
    <row r="12" spans="1:13" ht="14.5">
      <c r="A12" s="1"/>
      <c r="B12" s="1"/>
      <c r="C12" s="1"/>
      <c r="D12" s="1"/>
      <c r="E12" s="1"/>
      <c r="F12" s="1"/>
      <c r="G12" s="11"/>
      <c r="H12" s="1"/>
      <c r="I12" s="1"/>
      <c r="J12" s="1"/>
      <c r="K12" s="1"/>
      <c r="L12" s="1"/>
      <c r="M12" s="1"/>
    </row>
    <row r="13" spans="1:13" ht="30" customHeight="1">
      <c r="A13" s="23" t="s">
        <v>97</v>
      </c>
      <c r="B13" s="23"/>
      <c r="C13" s="23"/>
      <c r="D13" s="23"/>
      <c r="E13" s="23"/>
      <c r="F13" s="23"/>
      <c r="G13" s="11"/>
      <c r="H13" s="23" t="s">
        <v>97</v>
      </c>
      <c r="I13" s="23"/>
      <c r="J13" s="23"/>
      <c r="K13" s="23"/>
      <c r="L13" s="23"/>
      <c r="M13" s="23"/>
    </row>
    <row r="14" spans="1:13" ht="14.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</row>
    <row r="15" spans="1:13" ht="14.5">
      <c r="A15" s="25" t="s">
        <v>98</v>
      </c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</row>
    <row r="16" spans="1:13" ht="24" customHeight="1">
      <c r="A16" s="26" t="s">
        <v>99</v>
      </c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8"/>
    </row>
    <row r="17" spans="1:13" ht="24" customHeight="1">
      <c r="A17" s="29"/>
      <c r="B17" s="30"/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1"/>
    </row>
    <row r="18" spans="1:13" ht="24" customHeight="1">
      <c r="A18" s="29"/>
      <c r="B18" s="30"/>
      <c r="C18" s="30"/>
      <c r="D18" s="30"/>
      <c r="E18" s="30"/>
      <c r="F18" s="30"/>
      <c r="G18" s="30"/>
      <c r="H18" s="30"/>
      <c r="I18" s="30"/>
      <c r="J18" s="30"/>
      <c r="K18" s="30"/>
      <c r="L18" s="30"/>
      <c r="M18" s="31"/>
    </row>
    <row r="19" spans="1:13" ht="24" customHeight="1">
      <c r="A19" s="32"/>
      <c r="B19" s="33"/>
      <c r="C19" s="33"/>
      <c r="D19" s="33"/>
      <c r="E19" s="33"/>
      <c r="F19" s="33"/>
      <c r="G19" s="33"/>
      <c r="H19" s="33"/>
      <c r="I19" s="33"/>
      <c r="J19" s="33"/>
      <c r="K19" s="33"/>
      <c r="L19" s="33"/>
      <c r="M19" s="34"/>
    </row>
    <row r="20" spans="1:13" ht="14.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</row>
  </sheetData>
  <mergeCells count="10">
    <mergeCell ref="A15:M15"/>
    <mergeCell ref="A16:M19"/>
    <mergeCell ref="A1:M1"/>
    <mergeCell ref="A2:M2"/>
    <mergeCell ref="A4:F4"/>
    <mergeCell ref="A5:F5"/>
    <mergeCell ref="A13:F13"/>
    <mergeCell ref="H4:M4"/>
    <mergeCell ref="H5:M5"/>
    <mergeCell ref="H13:M1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20"/>
  <sheetViews>
    <sheetView showGridLines="0" topLeftCell="C4" workbookViewId="0">
      <selection sqref="A1:M1"/>
    </sheetView>
  </sheetViews>
  <sheetFormatPr defaultRowHeight="14"/>
  <cols>
    <col min="1" max="1" width="7" customWidth="1"/>
    <col min="2" max="2" width="22" customWidth="1"/>
    <col min="3" max="3" width="38" customWidth="1"/>
    <col min="4" max="4" width="25" customWidth="1"/>
    <col min="5" max="5" width="9" customWidth="1"/>
    <col min="6" max="6" width="12" customWidth="1"/>
    <col min="7" max="7" width="3" customWidth="1"/>
    <col min="8" max="8" width="7" customWidth="1"/>
    <col min="9" max="9" width="22" customWidth="1"/>
    <col min="10" max="10" width="38" customWidth="1"/>
    <col min="11" max="11" width="25" customWidth="1"/>
    <col min="12" max="12" width="9" customWidth="1"/>
    <col min="13" max="13" width="12" customWidth="1"/>
  </cols>
  <sheetData>
    <row r="1" spans="1:13" ht="34" customHeight="1">
      <c r="A1" s="16" t="s">
        <v>134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</row>
    <row r="2" spans="1:13" ht="28" customHeight="1">
      <c r="A2" s="18" t="s">
        <v>135</v>
      </c>
      <c r="B2" s="18" t="s">
        <v>135</v>
      </c>
      <c r="C2" s="18" t="s">
        <v>135</v>
      </c>
      <c r="D2" s="18" t="s">
        <v>135</v>
      </c>
      <c r="E2" s="18" t="s">
        <v>135</v>
      </c>
      <c r="F2" s="18" t="s">
        <v>135</v>
      </c>
      <c r="G2" s="18" t="s">
        <v>135</v>
      </c>
      <c r="H2" s="18" t="s">
        <v>135</v>
      </c>
      <c r="I2" s="18" t="s">
        <v>135</v>
      </c>
      <c r="J2" s="18" t="s">
        <v>135</v>
      </c>
      <c r="K2" s="18" t="s">
        <v>135</v>
      </c>
      <c r="L2" s="18" t="s">
        <v>135</v>
      </c>
      <c r="M2" s="18" t="s">
        <v>135</v>
      </c>
    </row>
    <row r="3" spans="1:13" ht="14.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ht="26" customHeight="1">
      <c r="A4" s="21" t="s">
        <v>25</v>
      </c>
      <c r="B4" s="21"/>
      <c r="C4" s="21"/>
      <c r="D4" s="21"/>
      <c r="E4" s="21"/>
      <c r="F4" s="21"/>
      <c r="G4" s="11"/>
      <c r="H4" s="24" t="s">
        <v>26</v>
      </c>
      <c r="I4" s="24"/>
      <c r="J4" s="24"/>
      <c r="K4" s="24"/>
      <c r="L4" s="24"/>
      <c r="M4" s="24"/>
    </row>
    <row r="5" spans="1:13" ht="34" customHeight="1">
      <c r="A5" s="22" t="s">
        <v>136</v>
      </c>
      <c r="B5" s="22"/>
      <c r="C5" s="22"/>
      <c r="D5" s="22"/>
      <c r="E5" s="22"/>
      <c r="F5" s="22"/>
      <c r="G5" s="11"/>
      <c r="H5" s="22" t="s">
        <v>137</v>
      </c>
      <c r="I5" s="22"/>
      <c r="J5" s="22"/>
      <c r="K5" s="22"/>
      <c r="L5" s="22"/>
      <c r="M5" s="22"/>
    </row>
    <row r="6" spans="1:13" ht="14.5">
      <c r="A6" s="2" t="s">
        <v>61</v>
      </c>
      <c r="B6" s="3" t="s">
        <v>62</v>
      </c>
      <c r="C6" s="3" t="s">
        <v>63</v>
      </c>
      <c r="D6" s="3" t="s">
        <v>64</v>
      </c>
      <c r="E6" s="3" t="s">
        <v>65</v>
      </c>
      <c r="F6" s="4" t="s">
        <v>66</v>
      </c>
      <c r="G6" s="11"/>
      <c r="H6" s="2" t="s">
        <v>61</v>
      </c>
      <c r="I6" s="3" t="s">
        <v>62</v>
      </c>
      <c r="J6" s="3" t="s">
        <v>63</v>
      </c>
      <c r="K6" s="3" t="s">
        <v>64</v>
      </c>
      <c r="L6" s="3" t="s">
        <v>65</v>
      </c>
      <c r="M6" s="4" t="s">
        <v>66</v>
      </c>
    </row>
    <row r="7" spans="1:13" ht="52" customHeight="1">
      <c r="A7" s="12">
        <v>1</v>
      </c>
      <c r="B7" s="5" t="s">
        <v>138</v>
      </c>
      <c r="C7" s="5" t="s">
        <v>139</v>
      </c>
      <c r="D7" s="5" t="s">
        <v>140</v>
      </c>
      <c r="E7" s="13">
        <v>1</v>
      </c>
      <c r="F7" s="13">
        <f>E7</f>
        <v>1</v>
      </c>
      <c r="G7" s="11"/>
      <c r="H7" s="12">
        <v>1</v>
      </c>
      <c r="I7" s="5" t="s">
        <v>141</v>
      </c>
      <c r="J7" s="5" t="s">
        <v>142</v>
      </c>
      <c r="K7" s="5" t="s">
        <v>143</v>
      </c>
      <c r="L7" s="13">
        <v>1</v>
      </c>
      <c r="M7" s="13">
        <f>L7</f>
        <v>1</v>
      </c>
    </row>
    <row r="8" spans="1:13" ht="52" customHeight="1">
      <c r="A8" s="14">
        <v>2</v>
      </c>
      <c r="B8" s="7" t="s">
        <v>144</v>
      </c>
      <c r="C8" s="7" t="s">
        <v>145</v>
      </c>
      <c r="D8" s="7" t="s">
        <v>146</v>
      </c>
      <c r="E8" s="15">
        <v>2</v>
      </c>
      <c r="F8" s="15">
        <f>F7+E8</f>
        <v>3</v>
      </c>
      <c r="G8" s="11"/>
      <c r="H8" s="14">
        <v>2</v>
      </c>
      <c r="I8" s="7" t="s">
        <v>147</v>
      </c>
      <c r="J8" s="7" t="s">
        <v>148</v>
      </c>
      <c r="K8" s="7" t="s">
        <v>149</v>
      </c>
      <c r="L8" s="15">
        <v>2</v>
      </c>
      <c r="M8" s="15">
        <f>M7+L8</f>
        <v>3</v>
      </c>
    </row>
    <row r="9" spans="1:13" ht="52" customHeight="1">
      <c r="A9" s="14">
        <v>3</v>
      </c>
      <c r="B9" s="7" t="s">
        <v>150</v>
      </c>
      <c r="C9" s="7" t="s">
        <v>151</v>
      </c>
      <c r="D9" s="7" t="s">
        <v>152</v>
      </c>
      <c r="E9" s="15">
        <v>3</v>
      </c>
      <c r="F9" s="15">
        <f>F8+E9</f>
        <v>6</v>
      </c>
      <c r="G9" s="11"/>
      <c r="H9" s="14">
        <v>3</v>
      </c>
      <c r="I9" s="7" t="s">
        <v>153</v>
      </c>
      <c r="J9" s="7" t="s">
        <v>154</v>
      </c>
      <c r="K9" s="7" t="s">
        <v>155</v>
      </c>
      <c r="L9" s="15">
        <v>3</v>
      </c>
      <c r="M9" s="15">
        <f>M8+L9</f>
        <v>6</v>
      </c>
    </row>
    <row r="10" spans="1:13" ht="52" customHeight="1">
      <c r="A10" s="14">
        <v>4</v>
      </c>
      <c r="B10" s="7" t="s">
        <v>156</v>
      </c>
      <c r="C10" s="7" t="s">
        <v>157</v>
      </c>
      <c r="D10" s="7" t="s">
        <v>158</v>
      </c>
      <c r="E10" s="15">
        <v>4</v>
      </c>
      <c r="F10" s="15">
        <f>F9+E10</f>
        <v>10</v>
      </c>
      <c r="G10" s="11"/>
      <c r="H10" s="14">
        <v>4</v>
      </c>
      <c r="I10" s="7" t="s">
        <v>159</v>
      </c>
      <c r="J10" s="7" t="s">
        <v>160</v>
      </c>
      <c r="K10" s="7" t="s">
        <v>161</v>
      </c>
      <c r="L10" s="15">
        <v>4</v>
      </c>
      <c r="M10" s="15">
        <f>M9+L10</f>
        <v>10</v>
      </c>
    </row>
    <row r="11" spans="1:13" ht="52" customHeight="1">
      <c r="A11" s="14">
        <v>5</v>
      </c>
      <c r="B11" s="7" t="s">
        <v>162</v>
      </c>
      <c r="C11" s="7" t="s">
        <v>163</v>
      </c>
      <c r="D11" s="7" t="s">
        <v>164</v>
      </c>
      <c r="E11" s="15">
        <v>5</v>
      </c>
      <c r="F11" s="15">
        <f>F10+E11</f>
        <v>15</v>
      </c>
      <c r="G11" s="11"/>
      <c r="H11" s="14">
        <v>5</v>
      </c>
      <c r="I11" s="7" t="s">
        <v>165</v>
      </c>
      <c r="J11" s="7" t="s">
        <v>166</v>
      </c>
      <c r="K11" s="7" t="s">
        <v>167</v>
      </c>
      <c r="L11" s="15">
        <v>5</v>
      </c>
      <c r="M11" s="15">
        <f>M10+L11</f>
        <v>15</v>
      </c>
    </row>
    <row r="12" spans="1:13" ht="14.5">
      <c r="A12" s="1"/>
      <c r="B12" s="1"/>
      <c r="C12" s="1"/>
      <c r="D12" s="1"/>
      <c r="E12" s="1"/>
      <c r="F12" s="1"/>
      <c r="G12" s="11"/>
      <c r="H12" s="1"/>
      <c r="I12" s="1"/>
      <c r="J12" s="1"/>
      <c r="K12" s="1"/>
      <c r="L12" s="1"/>
      <c r="M12" s="1"/>
    </row>
    <row r="13" spans="1:13" ht="30" customHeight="1">
      <c r="A13" s="23" t="s">
        <v>97</v>
      </c>
      <c r="B13" s="23"/>
      <c r="C13" s="23"/>
      <c r="D13" s="23"/>
      <c r="E13" s="23"/>
      <c r="F13" s="23"/>
      <c r="G13" s="11"/>
      <c r="H13" s="23" t="s">
        <v>97</v>
      </c>
      <c r="I13" s="23"/>
      <c r="J13" s="23"/>
      <c r="K13" s="23"/>
      <c r="L13" s="23"/>
      <c r="M13" s="23"/>
    </row>
    <row r="14" spans="1:13" ht="14.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</row>
    <row r="15" spans="1:13" ht="14.5">
      <c r="A15" s="25" t="s">
        <v>98</v>
      </c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</row>
    <row r="16" spans="1:13" ht="24" customHeight="1">
      <c r="A16" s="26" t="s">
        <v>99</v>
      </c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8"/>
    </row>
    <row r="17" spans="1:13" ht="24" customHeight="1">
      <c r="A17" s="29"/>
      <c r="B17" s="30"/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1"/>
    </row>
    <row r="18" spans="1:13" ht="24" customHeight="1">
      <c r="A18" s="29"/>
      <c r="B18" s="30"/>
      <c r="C18" s="30"/>
      <c r="D18" s="30"/>
      <c r="E18" s="30"/>
      <c r="F18" s="30"/>
      <c r="G18" s="30"/>
      <c r="H18" s="30"/>
      <c r="I18" s="30"/>
      <c r="J18" s="30"/>
      <c r="K18" s="30"/>
      <c r="L18" s="30"/>
      <c r="M18" s="31"/>
    </row>
    <row r="19" spans="1:13" ht="24" customHeight="1">
      <c r="A19" s="32"/>
      <c r="B19" s="33"/>
      <c r="C19" s="33"/>
      <c r="D19" s="33"/>
      <c r="E19" s="33"/>
      <c r="F19" s="33"/>
      <c r="G19" s="33"/>
      <c r="H19" s="33"/>
      <c r="I19" s="33"/>
      <c r="J19" s="33"/>
      <c r="K19" s="33"/>
      <c r="L19" s="33"/>
      <c r="M19" s="34"/>
    </row>
    <row r="20" spans="1:13" ht="14.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</row>
  </sheetData>
  <mergeCells count="10">
    <mergeCell ref="A15:M15"/>
    <mergeCell ref="A16:M19"/>
    <mergeCell ref="A1:M1"/>
    <mergeCell ref="A2:M2"/>
    <mergeCell ref="A4:F4"/>
    <mergeCell ref="A5:F5"/>
    <mergeCell ref="A13:F13"/>
    <mergeCell ref="H4:M4"/>
    <mergeCell ref="H5:M5"/>
    <mergeCell ref="H13:M1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20"/>
  <sheetViews>
    <sheetView showGridLines="0" tabSelected="1" topLeftCell="A7" workbookViewId="0">
      <selection activeCell="A12" sqref="A12"/>
    </sheetView>
  </sheetViews>
  <sheetFormatPr defaultRowHeight="14"/>
  <cols>
    <col min="1" max="1" width="7" customWidth="1"/>
    <col min="2" max="2" width="22" customWidth="1"/>
    <col min="3" max="3" width="38" customWidth="1"/>
    <col min="4" max="4" width="25" customWidth="1"/>
    <col min="5" max="5" width="9" customWidth="1"/>
    <col min="6" max="6" width="12" customWidth="1"/>
    <col min="7" max="7" width="3" customWidth="1"/>
    <col min="8" max="8" width="7" customWidth="1"/>
    <col min="9" max="9" width="22" customWidth="1"/>
    <col min="10" max="10" width="38" customWidth="1"/>
    <col min="11" max="11" width="25" customWidth="1"/>
    <col min="12" max="12" width="9" customWidth="1"/>
    <col min="13" max="13" width="12" customWidth="1"/>
  </cols>
  <sheetData>
    <row r="1" spans="1:13" ht="34" customHeight="1">
      <c r="A1" s="16" t="s">
        <v>168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</row>
    <row r="2" spans="1:13" ht="28" customHeight="1">
      <c r="A2" s="18" t="s">
        <v>169</v>
      </c>
      <c r="B2" s="18" t="s">
        <v>169</v>
      </c>
      <c r="C2" s="18" t="s">
        <v>169</v>
      </c>
      <c r="D2" s="18" t="s">
        <v>169</v>
      </c>
      <c r="E2" s="18" t="s">
        <v>169</v>
      </c>
      <c r="F2" s="18" t="s">
        <v>169</v>
      </c>
      <c r="G2" s="18" t="s">
        <v>169</v>
      </c>
      <c r="H2" s="18" t="s">
        <v>169</v>
      </c>
      <c r="I2" s="18" t="s">
        <v>169</v>
      </c>
      <c r="J2" s="18" t="s">
        <v>169</v>
      </c>
      <c r="K2" s="18" t="s">
        <v>169</v>
      </c>
      <c r="L2" s="18" t="s">
        <v>169</v>
      </c>
      <c r="M2" s="18" t="s">
        <v>169</v>
      </c>
    </row>
    <row r="3" spans="1:13" ht="14.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ht="26" customHeight="1">
      <c r="A4" s="21" t="s">
        <v>31</v>
      </c>
      <c r="B4" s="21"/>
      <c r="C4" s="21"/>
      <c r="D4" s="21"/>
      <c r="E4" s="21"/>
      <c r="F4" s="21"/>
      <c r="G4" s="11"/>
      <c r="H4" s="24" t="s">
        <v>32</v>
      </c>
      <c r="I4" s="24"/>
      <c r="J4" s="24"/>
      <c r="K4" s="24"/>
      <c r="L4" s="24"/>
      <c r="M4" s="24"/>
    </row>
    <row r="5" spans="1:13" ht="34" customHeight="1">
      <c r="A5" s="22" t="s">
        <v>170</v>
      </c>
      <c r="B5" s="22"/>
      <c r="C5" s="22"/>
      <c r="D5" s="22"/>
      <c r="E5" s="22"/>
      <c r="F5" s="22"/>
      <c r="G5" s="11"/>
      <c r="H5" s="22" t="s">
        <v>171</v>
      </c>
      <c r="I5" s="22"/>
      <c r="J5" s="22"/>
      <c r="K5" s="22"/>
      <c r="L5" s="22"/>
      <c r="M5" s="22"/>
    </row>
    <row r="6" spans="1:13" ht="14.5">
      <c r="A6" s="2" t="s">
        <v>61</v>
      </c>
      <c r="B6" s="3" t="s">
        <v>62</v>
      </c>
      <c r="C6" s="3" t="s">
        <v>63</v>
      </c>
      <c r="D6" s="3" t="s">
        <v>64</v>
      </c>
      <c r="E6" s="3" t="s">
        <v>65</v>
      </c>
      <c r="F6" s="4" t="s">
        <v>66</v>
      </c>
      <c r="G6" s="11"/>
      <c r="H6" s="2" t="s">
        <v>61</v>
      </c>
      <c r="I6" s="3" t="s">
        <v>62</v>
      </c>
      <c r="J6" s="3" t="s">
        <v>63</v>
      </c>
      <c r="K6" s="3" t="s">
        <v>64</v>
      </c>
      <c r="L6" s="3" t="s">
        <v>65</v>
      </c>
      <c r="M6" s="4" t="s">
        <v>66</v>
      </c>
    </row>
    <row r="7" spans="1:13" ht="52" customHeight="1">
      <c r="A7" s="12">
        <v>1</v>
      </c>
      <c r="B7" s="5" t="s">
        <v>172</v>
      </c>
      <c r="C7" s="5" t="s">
        <v>173</v>
      </c>
      <c r="D7" s="5" t="s">
        <v>174</v>
      </c>
      <c r="E7" s="13">
        <v>1</v>
      </c>
      <c r="F7" s="13">
        <f>E7</f>
        <v>1</v>
      </c>
      <c r="G7" s="11"/>
      <c r="H7" s="12">
        <v>1</v>
      </c>
      <c r="I7" s="5" t="s">
        <v>175</v>
      </c>
      <c r="J7" s="5" t="s">
        <v>176</v>
      </c>
      <c r="K7" s="5" t="s">
        <v>177</v>
      </c>
      <c r="L7" s="13">
        <v>1</v>
      </c>
      <c r="M7" s="13">
        <f>L7</f>
        <v>1</v>
      </c>
    </row>
    <row r="8" spans="1:13" ht="52" customHeight="1">
      <c r="A8" s="14">
        <v>2</v>
      </c>
      <c r="B8" s="7" t="s">
        <v>178</v>
      </c>
      <c r="C8" s="7" t="s">
        <v>179</v>
      </c>
      <c r="D8" s="7" t="s">
        <v>180</v>
      </c>
      <c r="E8" s="15">
        <v>2</v>
      </c>
      <c r="F8" s="15">
        <f>F7+E8</f>
        <v>3</v>
      </c>
      <c r="G8" s="11"/>
      <c r="H8" s="14">
        <v>2</v>
      </c>
      <c r="I8" s="7" t="s">
        <v>181</v>
      </c>
      <c r="J8" s="7" t="s">
        <v>182</v>
      </c>
      <c r="K8" s="7" t="s">
        <v>183</v>
      </c>
      <c r="L8" s="15">
        <v>2</v>
      </c>
      <c r="M8" s="15">
        <f>M7+L8</f>
        <v>3</v>
      </c>
    </row>
    <row r="9" spans="1:13" ht="52" customHeight="1">
      <c r="A9" s="14">
        <v>3</v>
      </c>
      <c r="B9" s="7" t="s">
        <v>184</v>
      </c>
      <c r="C9" s="7" t="s">
        <v>185</v>
      </c>
      <c r="D9" s="7" t="s">
        <v>186</v>
      </c>
      <c r="E9" s="15">
        <v>3</v>
      </c>
      <c r="F9" s="15">
        <f>F8+E9</f>
        <v>6</v>
      </c>
      <c r="G9" s="11"/>
      <c r="H9" s="14">
        <v>3</v>
      </c>
      <c r="I9" s="7" t="s">
        <v>187</v>
      </c>
      <c r="J9" s="7" t="s">
        <v>188</v>
      </c>
      <c r="K9" s="7" t="s">
        <v>189</v>
      </c>
      <c r="L9" s="15">
        <v>3</v>
      </c>
      <c r="M9" s="15">
        <f>M8+L9</f>
        <v>6</v>
      </c>
    </row>
    <row r="10" spans="1:13" ht="52" customHeight="1">
      <c r="A10" s="14">
        <v>4</v>
      </c>
      <c r="B10" s="7" t="s">
        <v>190</v>
      </c>
      <c r="C10" s="7" t="s">
        <v>191</v>
      </c>
      <c r="D10" s="7" t="s">
        <v>192</v>
      </c>
      <c r="E10" s="15">
        <v>4</v>
      </c>
      <c r="F10" s="15">
        <f>F9+E10</f>
        <v>10</v>
      </c>
      <c r="G10" s="11"/>
      <c r="H10" s="14">
        <v>4</v>
      </c>
      <c r="I10" s="7" t="s">
        <v>193</v>
      </c>
      <c r="J10" s="7" t="s">
        <v>194</v>
      </c>
      <c r="K10" s="7" t="s">
        <v>195</v>
      </c>
      <c r="L10" s="15">
        <v>4</v>
      </c>
      <c r="M10" s="15">
        <f>M9+L10</f>
        <v>10</v>
      </c>
    </row>
    <row r="11" spans="1:13" ht="52" customHeight="1">
      <c r="A11" s="14">
        <v>5</v>
      </c>
      <c r="B11" s="7" t="s">
        <v>196</v>
      </c>
      <c r="C11" s="7" t="s">
        <v>197</v>
      </c>
      <c r="D11" s="7" t="s">
        <v>198</v>
      </c>
      <c r="E11" s="15">
        <v>5</v>
      </c>
      <c r="F11" s="15">
        <f>F10+E11</f>
        <v>15</v>
      </c>
      <c r="G11" s="11"/>
      <c r="H11" s="14">
        <v>5</v>
      </c>
      <c r="I11" s="7" t="s">
        <v>32</v>
      </c>
      <c r="J11" s="7" t="s">
        <v>334</v>
      </c>
      <c r="K11" s="7" t="s">
        <v>199</v>
      </c>
      <c r="L11" s="15">
        <v>5</v>
      </c>
      <c r="M11" s="15">
        <f>M10+L11</f>
        <v>15</v>
      </c>
    </row>
    <row r="12" spans="1:13" ht="14.5">
      <c r="A12" s="1"/>
      <c r="B12" s="1"/>
      <c r="C12" s="1"/>
      <c r="D12" s="1"/>
      <c r="E12" s="1"/>
      <c r="F12" s="1"/>
      <c r="G12" s="11"/>
      <c r="H12" s="1"/>
      <c r="I12" s="1"/>
      <c r="J12" s="1"/>
      <c r="K12" s="1"/>
      <c r="L12" s="1"/>
      <c r="M12" s="1"/>
    </row>
    <row r="13" spans="1:13" ht="30" customHeight="1">
      <c r="A13" s="23" t="s">
        <v>97</v>
      </c>
      <c r="B13" s="23"/>
      <c r="C13" s="23"/>
      <c r="D13" s="23"/>
      <c r="E13" s="23"/>
      <c r="F13" s="23"/>
      <c r="G13" s="11"/>
      <c r="H13" s="23" t="s">
        <v>97</v>
      </c>
      <c r="I13" s="23"/>
      <c r="J13" s="23"/>
      <c r="K13" s="23"/>
      <c r="L13" s="23"/>
      <c r="M13" s="23"/>
    </row>
    <row r="14" spans="1:13" ht="14.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</row>
    <row r="15" spans="1:13" ht="14.5">
      <c r="A15" s="25" t="s">
        <v>98</v>
      </c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</row>
    <row r="16" spans="1:13" ht="24" customHeight="1">
      <c r="A16" s="26" t="s">
        <v>99</v>
      </c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8"/>
    </row>
    <row r="17" spans="1:13" ht="24" customHeight="1">
      <c r="A17" s="29"/>
      <c r="B17" s="30"/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1"/>
    </row>
    <row r="18" spans="1:13" ht="24" customHeight="1">
      <c r="A18" s="29"/>
      <c r="B18" s="30"/>
      <c r="C18" s="30"/>
      <c r="D18" s="30"/>
      <c r="E18" s="30"/>
      <c r="F18" s="30"/>
      <c r="G18" s="30"/>
      <c r="H18" s="30"/>
      <c r="I18" s="30"/>
      <c r="J18" s="30"/>
      <c r="K18" s="30"/>
      <c r="L18" s="30"/>
      <c r="M18" s="31"/>
    </row>
    <row r="19" spans="1:13" ht="24" customHeight="1">
      <c r="A19" s="32"/>
      <c r="B19" s="33"/>
      <c r="C19" s="33"/>
      <c r="D19" s="33"/>
      <c r="E19" s="33"/>
      <c r="F19" s="33"/>
      <c r="G19" s="33"/>
      <c r="H19" s="33"/>
      <c r="I19" s="33"/>
      <c r="J19" s="33"/>
      <c r="K19" s="33"/>
      <c r="L19" s="33"/>
      <c r="M19" s="34"/>
    </row>
    <row r="20" spans="1:13" ht="14.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</row>
  </sheetData>
  <mergeCells count="10">
    <mergeCell ref="A15:M15"/>
    <mergeCell ref="A16:M19"/>
    <mergeCell ref="A1:M1"/>
    <mergeCell ref="A2:M2"/>
    <mergeCell ref="A4:F4"/>
    <mergeCell ref="A5:F5"/>
    <mergeCell ref="A13:F13"/>
    <mergeCell ref="H4:M4"/>
    <mergeCell ref="H5:M5"/>
    <mergeCell ref="H13:M1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20"/>
  <sheetViews>
    <sheetView showGridLines="0" workbookViewId="0">
      <selection sqref="A1:M1"/>
    </sheetView>
  </sheetViews>
  <sheetFormatPr defaultRowHeight="14"/>
  <cols>
    <col min="1" max="1" width="7" customWidth="1"/>
    <col min="2" max="2" width="22" customWidth="1"/>
    <col min="3" max="3" width="38" customWidth="1"/>
    <col min="4" max="4" width="25" customWidth="1"/>
    <col min="5" max="5" width="9" customWidth="1"/>
    <col min="6" max="6" width="12" customWidth="1"/>
    <col min="7" max="7" width="3" customWidth="1"/>
    <col min="8" max="8" width="7" customWidth="1"/>
    <col min="9" max="9" width="22" customWidth="1"/>
    <col min="10" max="10" width="38" customWidth="1"/>
    <col min="11" max="11" width="25" customWidth="1"/>
    <col min="12" max="12" width="9" customWidth="1"/>
    <col min="13" max="13" width="12" customWidth="1"/>
  </cols>
  <sheetData>
    <row r="1" spans="1:13" ht="34" customHeight="1">
      <c r="A1" s="16" t="s">
        <v>200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</row>
    <row r="2" spans="1:13" ht="28" customHeight="1">
      <c r="A2" s="18" t="s">
        <v>201</v>
      </c>
      <c r="B2" s="18" t="s">
        <v>201</v>
      </c>
      <c r="C2" s="18" t="s">
        <v>201</v>
      </c>
      <c r="D2" s="18" t="s">
        <v>201</v>
      </c>
      <c r="E2" s="18" t="s">
        <v>201</v>
      </c>
      <c r="F2" s="18" t="s">
        <v>201</v>
      </c>
      <c r="G2" s="18" t="s">
        <v>201</v>
      </c>
      <c r="H2" s="18" t="s">
        <v>201</v>
      </c>
      <c r="I2" s="18" t="s">
        <v>201</v>
      </c>
      <c r="J2" s="18" t="s">
        <v>201</v>
      </c>
      <c r="K2" s="18" t="s">
        <v>201</v>
      </c>
      <c r="L2" s="18" t="s">
        <v>201</v>
      </c>
      <c r="M2" s="18" t="s">
        <v>201</v>
      </c>
    </row>
    <row r="3" spans="1:13" ht="14.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ht="26" customHeight="1">
      <c r="A4" s="21" t="s">
        <v>37</v>
      </c>
      <c r="B4" s="21"/>
      <c r="C4" s="21"/>
      <c r="D4" s="21"/>
      <c r="E4" s="21"/>
      <c r="F4" s="21"/>
      <c r="G4" s="11"/>
      <c r="H4" s="24" t="s">
        <v>38</v>
      </c>
      <c r="I4" s="24"/>
      <c r="J4" s="24"/>
      <c r="K4" s="24"/>
      <c r="L4" s="24"/>
      <c r="M4" s="24"/>
    </row>
    <row r="5" spans="1:13" ht="34" customHeight="1">
      <c r="A5" s="22" t="s">
        <v>202</v>
      </c>
      <c r="B5" s="22"/>
      <c r="C5" s="22"/>
      <c r="D5" s="22"/>
      <c r="E5" s="22"/>
      <c r="F5" s="22"/>
      <c r="G5" s="11"/>
      <c r="H5" s="22" t="s">
        <v>203</v>
      </c>
      <c r="I5" s="22"/>
      <c r="J5" s="22"/>
      <c r="K5" s="22"/>
      <c r="L5" s="22"/>
      <c r="M5" s="22"/>
    </row>
    <row r="6" spans="1:13" ht="14.5">
      <c r="A6" s="2" t="s">
        <v>61</v>
      </c>
      <c r="B6" s="3" t="s">
        <v>62</v>
      </c>
      <c r="C6" s="3" t="s">
        <v>63</v>
      </c>
      <c r="D6" s="3" t="s">
        <v>64</v>
      </c>
      <c r="E6" s="3" t="s">
        <v>65</v>
      </c>
      <c r="F6" s="4" t="s">
        <v>66</v>
      </c>
      <c r="G6" s="11"/>
      <c r="H6" s="2" t="s">
        <v>61</v>
      </c>
      <c r="I6" s="3" t="s">
        <v>62</v>
      </c>
      <c r="J6" s="3" t="s">
        <v>63</v>
      </c>
      <c r="K6" s="3" t="s">
        <v>64</v>
      </c>
      <c r="L6" s="3" t="s">
        <v>65</v>
      </c>
      <c r="M6" s="4" t="s">
        <v>66</v>
      </c>
    </row>
    <row r="7" spans="1:13" ht="52" customHeight="1">
      <c r="A7" s="12">
        <v>1</v>
      </c>
      <c r="B7" s="5" t="s">
        <v>204</v>
      </c>
      <c r="C7" s="5" t="s">
        <v>205</v>
      </c>
      <c r="D7" s="5" t="s">
        <v>206</v>
      </c>
      <c r="E7" s="13">
        <v>1</v>
      </c>
      <c r="F7" s="13">
        <f>E7</f>
        <v>1</v>
      </c>
      <c r="G7" s="11"/>
      <c r="H7" s="12">
        <v>1</v>
      </c>
      <c r="I7" s="5" t="s">
        <v>207</v>
      </c>
      <c r="J7" s="5" t="s">
        <v>208</v>
      </c>
      <c r="K7" s="5" t="s">
        <v>209</v>
      </c>
      <c r="L7" s="13">
        <v>1</v>
      </c>
      <c r="M7" s="13">
        <f>L7</f>
        <v>1</v>
      </c>
    </row>
    <row r="8" spans="1:13" ht="52" customHeight="1">
      <c r="A8" s="14">
        <v>2</v>
      </c>
      <c r="B8" s="7" t="s">
        <v>210</v>
      </c>
      <c r="C8" s="7" t="s">
        <v>211</v>
      </c>
      <c r="D8" s="7" t="s">
        <v>212</v>
      </c>
      <c r="E8" s="15">
        <v>2</v>
      </c>
      <c r="F8" s="15">
        <f>F7+E8</f>
        <v>3</v>
      </c>
      <c r="G8" s="11"/>
      <c r="H8" s="14">
        <v>2</v>
      </c>
      <c r="I8" s="7" t="s">
        <v>213</v>
      </c>
      <c r="J8" s="7" t="s">
        <v>214</v>
      </c>
      <c r="K8" s="7" t="s">
        <v>215</v>
      </c>
      <c r="L8" s="15">
        <v>2</v>
      </c>
      <c r="M8" s="15">
        <f>M7+L8</f>
        <v>3</v>
      </c>
    </row>
    <row r="9" spans="1:13" ht="52" customHeight="1">
      <c r="A9" s="14">
        <v>3</v>
      </c>
      <c r="B9" s="7" t="s">
        <v>216</v>
      </c>
      <c r="C9" s="7" t="s">
        <v>217</v>
      </c>
      <c r="D9" s="7" t="s">
        <v>218</v>
      </c>
      <c r="E9" s="15">
        <v>3</v>
      </c>
      <c r="F9" s="15">
        <f>F8+E9</f>
        <v>6</v>
      </c>
      <c r="G9" s="11"/>
      <c r="H9" s="14">
        <v>3</v>
      </c>
      <c r="I9" s="7" t="s">
        <v>219</v>
      </c>
      <c r="J9" s="7" t="s">
        <v>220</v>
      </c>
      <c r="K9" s="7" t="s">
        <v>221</v>
      </c>
      <c r="L9" s="15">
        <v>3</v>
      </c>
      <c r="M9" s="15">
        <f>M8+L9</f>
        <v>6</v>
      </c>
    </row>
    <row r="10" spans="1:13" ht="52" customHeight="1">
      <c r="A10" s="14">
        <v>4</v>
      </c>
      <c r="B10" s="7" t="s">
        <v>222</v>
      </c>
      <c r="C10" s="7" t="s">
        <v>223</v>
      </c>
      <c r="D10" s="7" t="s">
        <v>224</v>
      </c>
      <c r="E10" s="15">
        <v>4</v>
      </c>
      <c r="F10" s="15">
        <f>F9+E10</f>
        <v>10</v>
      </c>
      <c r="G10" s="11"/>
      <c r="H10" s="14">
        <v>4</v>
      </c>
      <c r="I10" s="7" t="s">
        <v>225</v>
      </c>
      <c r="J10" s="7" t="s">
        <v>226</v>
      </c>
      <c r="K10" s="7" t="s">
        <v>227</v>
      </c>
      <c r="L10" s="15">
        <v>4</v>
      </c>
      <c r="M10" s="15">
        <f>M9+L10</f>
        <v>10</v>
      </c>
    </row>
    <row r="11" spans="1:13" ht="52" customHeight="1">
      <c r="A11" s="14">
        <v>5</v>
      </c>
      <c r="B11" s="7" t="s">
        <v>228</v>
      </c>
      <c r="C11" s="7" t="s">
        <v>229</v>
      </c>
      <c r="D11" s="7" t="s">
        <v>230</v>
      </c>
      <c r="E11" s="15">
        <v>5</v>
      </c>
      <c r="F11" s="15">
        <f>F10+E11</f>
        <v>15</v>
      </c>
      <c r="G11" s="11"/>
      <c r="H11" s="14">
        <v>5</v>
      </c>
      <c r="I11" s="7" t="s">
        <v>231</v>
      </c>
      <c r="J11" s="7" t="s">
        <v>232</v>
      </c>
      <c r="K11" s="7" t="s">
        <v>233</v>
      </c>
      <c r="L11" s="15">
        <v>5</v>
      </c>
      <c r="M11" s="15">
        <f>M10+L11</f>
        <v>15</v>
      </c>
    </row>
    <row r="12" spans="1:13" ht="14.5">
      <c r="A12" s="1"/>
      <c r="B12" s="1"/>
      <c r="C12" s="1"/>
      <c r="D12" s="1"/>
      <c r="E12" s="1"/>
      <c r="F12" s="1"/>
      <c r="G12" s="11"/>
      <c r="H12" s="1"/>
      <c r="I12" s="1"/>
      <c r="J12" s="1"/>
      <c r="K12" s="1"/>
      <c r="L12" s="1"/>
      <c r="M12" s="1"/>
    </row>
    <row r="13" spans="1:13" ht="30" customHeight="1">
      <c r="A13" s="23" t="s">
        <v>97</v>
      </c>
      <c r="B13" s="23"/>
      <c r="C13" s="23"/>
      <c r="D13" s="23"/>
      <c r="E13" s="23"/>
      <c r="F13" s="23"/>
      <c r="G13" s="11"/>
      <c r="H13" s="23" t="s">
        <v>97</v>
      </c>
      <c r="I13" s="23"/>
      <c r="J13" s="23"/>
      <c r="K13" s="23"/>
      <c r="L13" s="23"/>
      <c r="M13" s="23"/>
    </row>
    <row r="14" spans="1:13" ht="14.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</row>
    <row r="15" spans="1:13" ht="14.5">
      <c r="A15" s="25" t="s">
        <v>98</v>
      </c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</row>
    <row r="16" spans="1:13" ht="24" customHeight="1">
      <c r="A16" s="26" t="s">
        <v>99</v>
      </c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8"/>
    </row>
    <row r="17" spans="1:13" ht="24" customHeight="1">
      <c r="A17" s="29"/>
      <c r="B17" s="30"/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1"/>
    </row>
    <row r="18" spans="1:13" ht="24" customHeight="1">
      <c r="A18" s="29"/>
      <c r="B18" s="30"/>
      <c r="C18" s="30"/>
      <c r="D18" s="30"/>
      <c r="E18" s="30"/>
      <c r="F18" s="30"/>
      <c r="G18" s="30"/>
      <c r="H18" s="30"/>
      <c r="I18" s="30"/>
      <c r="J18" s="30"/>
      <c r="K18" s="30"/>
      <c r="L18" s="30"/>
      <c r="M18" s="31"/>
    </row>
    <row r="19" spans="1:13" ht="24" customHeight="1">
      <c r="A19" s="32"/>
      <c r="B19" s="33"/>
      <c r="C19" s="33"/>
      <c r="D19" s="33"/>
      <c r="E19" s="33"/>
      <c r="F19" s="33"/>
      <c r="G19" s="33"/>
      <c r="H19" s="33"/>
      <c r="I19" s="33"/>
      <c r="J19" s="33"/>
      <c r="K19" s="33"/>
      <c r="L19" s="33"/>
      <c r="M19" s="34"/>
    </row>
    <row r="20" spans="1:13" ht="14.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</row>
  </sheetData>
  <mergeCells count="10">
    <mergeCell ref="A15:M15"/>
    <mergeCell ref="A16:M19"/>
    <mergeCell ref="A1:M1"/>
    <mergeCell ref="A2:M2"/>
    <mergeCell ref="A4:F4"/>
    <mergeCell ref="A5:F5"/>
    <mergeCell ref="A13:F13"/>
    <mergeCell ref="H4:M4"/>
    <mergeCell ref="H5:M5"/>
    <mergeCell ref="H13:M1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20"/>
  <sheetViews>
    <sheetView showGridLines="0" workbookViewId="0"/>
  </sheetViews>
  <sheetFormatPr defaultRowHeight="14"/>
  <cols>
    <col min="1" max="1" width="7" customWidth="1"/>
    <col min="2" max="2" width="22" customWidth="1"/>
    <col min="3" max="3" width="38" customWidth="1"/>
    <col min="4" max="4" width="25" customWidth="1"/>
    <col min="5" max="5" width="9" customWidth="1"/>
    <col min="6" max="6" width="12" customWidth="1"/>
    <col min="7" max="7" width="3" customWidth="1"/>
    <col min="8" max="8" width="7" customWidth="1"/>
    <col min="9" max="9" width="22" customWidth="1"/>
    <col min="10" max="10" width="38" customWidth="1"/>
    <col min="11" max="11" width="25" customWidth="1"/>
    <col min="12" max="12" width="9" customWidth="1"/>
    <col min="13" max="13" width="12" customWidth="1"/>
  </cols>
  <sheetData>
    <row r="1" spans="1:13" ht="34" customHeight="1">
      <c r="A1" s="16" t="s">
        <v>234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</row>
    <row r="2" spans="1:13" ht="28" customHeight="1">
      <c r="A2" s="18" t="s">
        <v>235</v>
      </c>
      <c r="B2" s="18" t="s">
        <v>235</v>
      </c>
      <c r="C2" s="18" t="s">
        <v>235</v>
      </c>
      <c r="D2" s="18" t="s">
        <v>235</v>
      </c>
      <c r="E2" s="18" t="s">
        <v>235</v>
      </c>
      <c r="F2" s="18" t="s">
        <v>235</v>
      </c>
      <c r="G2" s="18" t="s">
        <v>235</v>
      </c>
      <c r="H2" s="18" t="s">
        <v>235</v>
      </c>
      <c r="I2" s="18" t="s">
        <v>235</v>
      </c>
      <c r="J2" s="18" t="s">
        <v>235</v>
      </c>
      <c r="K2" s="18" t="s">
        <v>235</v>
      </c>
      <c r="L2" s="18" t="s">
        <v>235</v>
      </c>
      <c r="M2" s="18" t="s">
        <v>235</v>
      </c>
    </row>
    <row r="3" spans="1:13" ht="14.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ht="26" customHeight="1">
      <c r="A4" s="21" t="s">
        <v>43</v>
      </c>
      <c r="B4" s="21"/>
      <c r="C4" s="21"/>
      <c r="D4" s="21"/>
      <c r="E4" s="21"/>
      <c r="F4" s="21"/>
      <c r="G4" s="11"/>
      <c r="H4" s="24" t="s">
        <v>44</v>
      </c>
      <c r="I4" s="24"/>
      <c r="J4" s="24"/>
      <c r="K4" s="24"/>
      <c r="L4" s="24"/>
      <c r="M4" s="24"/>
    </row>
    <row r="5" spans="1:13" ht="34" customHeight="1">
      <c r="A5" s="22" t="s">
        <v>236</v>
      </c>
      <c r="B5" s="22"/>
      <c r="C5" s="22"/>
      <c r="D5" s="22"/>
      <c r="E5" s="22"/>
      <c r="F5" s="22"/>
      <c r="G5" s="11"/>
      <c r="H5" s="22" t="s">
        <v>237</v>
      </c>
      <c r="I5" s="22"/>
      <c r="J5" s="22"/>
      <c r="K5" s="22"/>
      <c r="L5" s="22"/>
      <c r="M5" s="22"/>
    </row>
    <row r="6" spans="1:13" ht="14.5">
      <c r="A6" s="2" t="s">
        <v>61</v>
      </c>
      <c r="B6" s="3" t="s">
        <v>62</v>
      </c>
      <c r="C6" s="3" t="s">
        <v>63</v>
      </c>
      <c r="D6" s="3" t="s">
        <v>64</v>
      </c>
      <c r="E6" s="3" t="s">
        <v>65</v>
      </c>
      <c r="F6" s="4" t="s">
        <v>66</v>
      </c>
      <c r="G6" s="11"/>
      <c r="H6" s="2" t="s">
        <v>61</v>
      </c>
      <c r="I6" s="3" t="s">
        <v>62</v>
      </c>
      <c r="J6" s="3" t="s">
        <v>63</v>
      </c>
      <c r="K6" s="3" t="s">
        <v>64</v>
      </c>
      <c r="L6" s="3" t="s">
        <v>65</v>
      </c>
      <c r="M6" s="4" t="s">
        <v>66</v>
      </c>
    </row>
    <row r="7" spans="1:13" ht="52" customHeight="1">
      <c r="A7" s="12">
        <v>1</v>
      </c>
      <c r="B7" s="5" t="s">
        <v>238</v>
      </c>
      <c r="C7" s="5" t="s">
        <v>239</v>
      </c>
      <c r="D7" s="5" t="s">
        <v>240</v>
      </c>
      <c r="E7" s="13">
        <v>1</v>
      </c>
      <c r="F7" s="13">
        <f>E7</f>
        <v>1</v>
      </c>
      <c r="G7" s="11"/>
      <c r="H7" s="12">
        <v>1</v>
      </c>
      <c r="I7" s="5" t="s">
        <v>241</v>
      </c>
      <c r="J7" s="5" t="s">
        <v>242</v>
      </c>
      <c r="K7" s="5" t="s">
        <v>243</v>
      </c>
      <c r="L7" s="13">
        <v>1</v>
      </c>
      <c r="M7" s="13">
        <f>L7</f>
        <v>1</v>
      </c>
    </row>
    <row r="8" spans="1:13" ht="52" customHeight="1">
      <c r="A8" s="14">
        <v>2</v>
      </c>
      <c r="B8" s="7" t="s">
        <v>244</v>
      </c>
      <c r="C8" s="7" t="s">
        <v>245</v>
      </c>
      <c r="D8" s="7" t="s">
        <v>246</v>
      </c>
      <c r="E8" s="15">
        <v>2</v>
      </c>
      <c r="F8" s="15">
        <f>F7+E8</f>
        <v>3</v>
      </c>
      <c r="G8" s="11"/>
      <c r="H8" s="14">
        <v>2</v>
      </c>
      <c r="I8" s="7" t="s">
        <v>247</v>
      </c>
      <c r="J8" s="7" t="s">
        <v>248</v>
      </c>
      <c r="K8" s="7" t="s">
        <v>249</v>
      </c>
      <c r="L8" s="15">
        <v>2</v>
      </c>
      <c r="M8" s="15">
        <f>M7+L8</f>
        <v>3</v>
      </c>
    </row>
    <row r="9" spans="1:13" ht="52" customHeight="1">
      <c r="A9" s="14">
        <v>3</v>
      </c>
      <c r="B9" s="7" t="s">
        <v>250</v>
      </c>
      <c r="C9" s="7" t="s">
        <v>251</v>
      </c>
      <c r="D9" s="7" t="s">
        <v>252</v>
      </c>
      <c r="E9" s="15">
        <v>3</v>
      </c>
      <c r="F9" s="15">
        <f>F8+E9</f>
        <v>6</v>
      </c>
      <c r="G9" s="11"/>
      <c r="H9" s="14">
        <v>3</v>
      </c>
      <c r="I9" s="7" t="s">
        <v>253</v>
      </c>
      <c r="J9" s="7" t="s">
        <v>254</v>
      </c>
      <c r="K9" s="7" t="s">
        <v>255</v>
      </c>
      <c r="L9" s="15">
        <v>3</v>
      </c>
      <c r="M9" s="15">
        <f>M8+L9</f>
        <v>6</v>
      </c>
    </row>
    <row r="10" spans="1:13" ht="52" customHeight="1">
      <c r="A10" s="14">
        <v>4</v>
      </c>
      <c r="B10" s="7" t="s">
        <v>256</v>
      </c>
      <c r="C10" s="7" t="s">
        <v>257</v>
      </c>
      <c r="D10" s="7" t="s">
        <v>258</v>
      </c>
      <c r="E10" s="15">
        <v>4</v>
      </c>
      <c r="F10" s="15">
        <f>F9+E10</f>
        <v>10</v>
      </c>
      <c r="G10" s="11"/>
      <c r="H10" s="14">
        <v>4</v>
      </c>
      <c r="I10" s="7" t="s">
        <v>259</v>
      </c>
      <c r="J10" s="7" t="s">
        <v>260</v>
      </c>
      <c r="K10" s="7" t="s">
        <v>261</v>
      </c>
      <c r="L10" s="15">
        <v>4</v>
      </c>
      <c r="M10" s="15">
        <f>M9+L10</f>
        <v>10</v>
      </c>
    </row>
    <row r="11" spans="1:13" ht="52" customHeight="1">
      <c r="A11" s="14">
        <v>5</v>
      </c>
      <c r="B11" s="7" t="s">
        <v>262</v>
      </c>
      <c r="C11" s="7" t="s">
        <v>263</v>
      </c>
      <c r="D11" s="7" t="s">
        <v>264</v>
      </c>
      <c r="E11" s="15">
        <v>5</v>
      </c>
      <c r="F11" s="15">
        <f>F10+E11</f>
        <v>15</v>
      </c>
      <c r="G11" s="11"/>
      <c r="H11" s="14">
        <v>5</v>
      </c>
      <c r="I11" s="7" t="s">
        <v>265</v>
      </c>
      <c r="J11" s="7" t="s">
        <v>266</v>
      </c>
      <c r="K11" s="7" t="s">
        <v>267</v>
      </c>
      <c r="L11" s="15">
        <v>5</v>
      </c>
      <c r="M11" s="15">
        <f>M10+L11</f>
        <v>15</v>
      </c>
    </row>
    <row r="12" spans="1:13" ht="14.5">
      <c r="A12" s="1"/>
      <c r="B12" s="1"/>
      <c r="C12" s="1"/>
      <c r="D12" s="1"/>
      <c r="E12" s="1"/>
      <c r="F12" s="1"/>
      <c r="G12" s="11"/>
      <c r="H12" s="1"/>
      <c r="I12" s="1"/>
      <c r="J12" s="1"/>
      <c r="K12" s="1"/>
      <c r="L12" s="1"/>
      <c r="M12" s="1"/>
    </row>
    <row r="13" spans="1:13" ht="30" customHeight="1">
      <c r="A13" s="23" t="s">
        <v>97</v>
      </c>
      <c r="B13" s="23"/>
      <c r="C13" s="23"/>
      <c r="D13" s="23"/>
      <c r="E13" s="23"/>
      <c r="F13" s="23"/>
      <c r="G13" s="11"/>
      <c r="H13" s="23" t="s">
        <v>97</v>
      </c>
      <c r="I13" s="23"/>
      <c r="J13" s="23"/>
      <c r="K13" s="23"/>
      <c r="L13" s="23"/>
      <c r="M13" s="23"/>
    </row>
    <row r="14" spans="1:13" ht="14.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</row>
    <row r="15" spans="1:13" ht="14.5">
      <c r="A15" s="25" t="s">
        <v>98</v>
      </c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</row>
    <row r="16" spans="1:13" ht="24" customHeight="1">
      <c r="A16" s="26" t="s">
        <v>99</v>
      </c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8"/>
    </row>
    <row r="17" spans="1:13" ht="24" customHeight="1">
      <c r="A17" s="29"/>
      <c r="B17" s="30"/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1"/>
    </row>
    <row r="18" spans="1:13" ht="24" customHeight="1">
      <c r="A18" s="29"/>
      <c r="B18" s="30"/>
      <c r="C18" s="30"/>
      <c r="D18" s="30"/>
      <c r="E18" s="30"/>
      <c r="F18" s="30"/>
      <c r="G18" s="30"/>
      <c r="H18" s="30"/>
      <c r="I18" s="30"/>
      <c r="J18" s="30"/>
      <c r="K18" s="30"/>
      <c r="L18" s="30"/>
      <c r="M18" s="31"/>
    </row>
    <row r="19" spans="1:13" ht="24" customHeight="1">
      <c r="A19" s="32"/>
      <c r="B19" s="33"/>
      <c r="C19" s="33"/>
      <c r="D19" s="33"/>
      <c r="E19" s="33"/>
      <c r="F19" s="33"/>
      <c r="G19" s="33"/>
      <c r="H19" s="33"/>
      <c r="I19" s="33"/>
      <c r="J19" s="33"/>
      <c r="K19" s="33"/>
      <c r="L19" s="33"/>
      <c r="M19" s="34"/>
    </row>
    <row r="20" spans="1:13" ht="14.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</row>
  </sheetData>
  <mergeCells count="10">
    <mergeCell ref="A15:M15"/>
    <mergeCell ref="A16:M19"/>
    <mergeCell ref="A1:M1"/>
    <mergeCell ref="A2:M2"/>
    <mergeCell ref="A4:F4"/>
    <mergeCell ref="A5:F5"/>
    <mergeCell ref="A13:F13"/>
    <mergeCell ref="H4:M4"/>
    <mergeCell ref="H5:M5"/>
    <mergeCell ref="H13:M1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20"/>
  <sheetViews>
    <sheetView showGridLines="0" workbookViewId="0"/>
  </sheetViews>
  <sheetFormatPr defaultRowHeight="14"/>
  <cols>
    <col min="1" max="1" width="7" customWidth="1"/>
    <col min="2" max="2" width="22" customWidth="1"/>
    <col min="3" max="3" width="38" customWidth="1"/>
    <col min="4" max="4" width="25" customWidth="1"/>
    <col min="5" max="5" width="9" customWidth="1"/>
    <col min="6" max="6" width="12" customWidth="1"/>
    <col min="7" max="7" width="3" customWidth="1"/>
    <col min="8" max="8" width="7" customWidth="1"/>
    <col min="9" max="9" width="22" customWidth="1"/>
    <col min="10" max="10" width="38" customWidth="1"/>
    <col min="11" max="11" width="25" customWidth="1"/>
    <col min="12" max="12" width="9" customWidth="1"/>
    <col min="13" max="13" width="12" customWidth="1"/>
  </cols>
  <sheetData>
    <row r="1" spans="1:13" ht="34" customHeight="1">
      <c r="A1" s="16" t="s">
        <v>268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</row>
    <row r="2" spans="1:13" ht="28" customHeight="1">
      <c r="A2" s="18" t="s">
        <v>269</v>
      </c>
      <c r="B2" s="18" t="s">
        <v>269</v>
      </c>
      <c r="C2" s="18" t="s">
        <v>269</v>
      </c>
      <c r="D2" s="18" t="s">
        <v>269</v>
      </c>
      <c r="E2" s="18" t="s">
        <v>269</v>
      </c>
      <c r="F2" s="18" t="s">
        <v>269</v>
      </c>
      <c r="G2" s="18" t="s">
        <v>269</v>
      </c>
      <c r="H2" s="18" t="s">
        <v>269</v>
      </c>
      <c r="I2" s="18" t="s">
        <v>269</v>
      </c>
      <c r="J2" s="18" t="s">
        <v>269</v>
      </c>
      <c r="K2" s="18" t="s">
        <v>269</v>
      </c>
      <c r="L2" s="18" t="s">
        <v>269</v>
      </c>
      <c r="M2" s="18" t="s">
        <v>269</v>
      </c>
    </row>
    <row r="3" spans="1:13" ht="14.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ht="26" customHeight="1">
      <c r="A4" s="21" t="s">
        <v>48</v>
      </c>
      <c r="B4" s="21"/>
      <c r="C4" s="21"/>
      <c r="D4" s="21"/>
      <c r="E4" s="21"/>
      <c r="F4" s="21"/>
      <c r="G4" s="11"/>
      <c r="H4" s="24" t="s">
        <v>49</v>
      </c>
      <c r="I4" s="24"/>
      <c r="J4" s="24"/>
      <c r="K4" s="24"/>
      <c r="L4" s="24"/>
      <c r="M4" s="24"/>
    </row>
    <row r="5" spans="1:13" ht="34" customHeight="1">
      <c r="A5" s="22" t="s">
        <v>270</v>
      </c>
      <c r="B5" s="22"/>
      <c r="C5" s="22"/>
      <c r="D5" s="22"/>
      <c r="E5" s="22"/>
      <c r="F5" s="22"/>
      <c r="G5" s="11"/>
      <c r="H5" s="22" t="s">
        <v>271</v>
      </c>
      <c r="I5" s="22"/>
      <c r="J5" s="22"/>
      <c r="K5" s="22"/>
      <c r="L5" s="22"/>
      <c r="M5" s="22"/>
    </row>
    <row r="6" spans="1:13" ht="14.5">
      <c r="A6" s="2" t="s">
        <v>61</v>
      </c>
      <c r="B6" s="3" t="s">
        <v>62</v>
      </c>
      <c r="C6" s="3" t="s">
        <v>63</v>
      </c>
      <c r="D6" s="3" t="s">
        <v>64</v>
      </c>
      <c r="E6" s="3" t="s">
        <v>65</v>
      </c>
      <c r="F6" s="4" t="s">
        <v>66</v>
      </c>
      <c r="G6" s="11"/>
      <c r="H6" s="2" t="s">
        <v>61</v>
      </c>
      <c r="I6" s="3" t="s">
        <v>62</v>
      </c>
      <c r="J6" s="3" t="s">
        <v>63</v>
      </c>
      <c r="K6" s="3" t="s">
        <v>64</v>
      </c>
      <c r="L6" s="3" t="s">
        <v>65</v>
      </c>
      <c r="M6" s="4" t="s">
        <v>66</v>
      </c>
    </row>
    <row r="7" spans="1:13" ht="52" customHeight="1">
      <c r="A7" s="12">
        <v>1</v>
      </c>
      <c r="B7" s="5" t="s">
        <v>272</v>
      </c>
      <c r="C7" s="5" t="s">
        <v>273</v>
      </c>
      <c r="D7" s="5" t="s">
        <v>274</v>
      </c>
      <c r="E7" s="13">
        <v>1</v>
      </c>
      <c r="F7" s="13">
        <f>E7</f>
        <v>1</v>
      </c>
      <c r="G7" s="11"/>
      <c r="H7" s="12">
        <v>1</v>
      </c>
      <c r="I7" s="5" t="s">
        <v>275</v>
      </c>
      <c r="J7" s="5" t="s">
        <v>276</v>
      </c>
      <c r="K7" s="5" t="s">
        <v>277</v>
      </c>
      <c r="L7" s="13">
        <v>1</v>
      </c>
      <c r="M7" s="13">
        <f>L7</f>
        <v>1</v>
      </c>
    </row>
    <row r="8" spans="1:13" ht="52" customHeight="1">
      <c r="A8" s="14">
        <v>2</v>
      </c>
      <c r="B8" s="7" t="s">
        <v>278</v>
      </c>
      <c r="C8" s="7" t="s">
        <v>279</v>
      </c>
      <c r="D8" s="7" t="s">
        <v>280</v>
      </c>
      <c r="E8" s="15">
        <v>2</v>
      </c>
      <c r="F8" s="15">
        <f>F7+E8</f>
        <v>3</v>
      </c>
      <c r="G8" s="11"/>
      <c r="H8" s="14">
        <v>2</v>
      </c>
      <c r="I8" s="7" t="s">
        <v>281</v>
      </c>
      <c r="J8" s="7" t="s">
        <v>282</v>
      </c>
      <c r="K8" s="7" t="s">
        <v>283</v>
      </c>
      <c r="L8" s="15">
        <v>2</v>
      </c>
      <c r="M8" s="15">
        <f>M7+L8</f>
        <v>3</v>
      </c>
    </row>
    <row r="9" spans="1:13" ht="52" customHeight="1">
      <c r="A9" s="14">
        <v>3</v>
      </c>
      <c r="B9" s="7" t="s">
        <v>48</v>
      </c>
      <c r="C9" s="7" t="s">
        <v>284</v>
      </c>
      <c r="D9" s="7" t="s">
        <v>285</v>
      </c>
      <c r="E9" s="15">
        <v>3</v>
      </c>
      <c r="F9" s="15">
        <f>F8+E9</f>
        <v>6</v>
      </c>
      <c r="G9" s="11"/>
      <c r="H9" s="14">
        <v>3</v>
      </c>
      <c r="I9" s="7" t="s">
        <v>286</v>
      </c>
      <c r="J9" s="7" t="s">
        <v>287</v>
      </c>
      <c r="K9" s="7" t="s">
        <v>288</v>
      </c>
      <c r="L9" s="15">
        <v>3</v>
      </c>
      <c r="M9" s="15">
        <f>M8+L9</f>
        <v>6</v>
      </c>
    </row>
    <row r="10" spans="1:13" ht="52" customHeight="1">
      <c r="A10" s="14">
        <v>4</v>
      </c>
      <c r="B10" s="7" t="s">
        <v>289</v>
      </c>
      <c r="C10" s="7" t="s">
        <v>290</v>
      </c>
      <c r="D10" s="7" t="s">
        <v>291</v>
      </c>
      <c r="E10" s="15">
        <v>4</v>
      </c>
      <c r="F10" s="15">
        <f>F9+E10</f>
        <v>10</v>
      </c>
      <c r="G10" s="11"/>
      <c r="H10" s="14">
        <v>4</v>
      </c>
      <c r="I10" s="7" t="s">
        <v>292</v>
      </c>
      <c r="J10" s="7" t="s">
        <v>293</v>
      </c>
      <c r="K10" s="7" t="s">
        <v>294</v>
      </c>
      <c r="L10" s="15">
        <v>4</v>
      </c>
      <c r="M10" s="15">
        <f>M9+L10</f>
        <v>10</v>
      </c>
    </row>
    <row r="11" spans="1:13" ht="52" customHeight="1">
      <c r="A11" s="14">
        <v>5</v>
      </c>
      <c r="B11" s="7" t="s">
        <v>295</v>
      </c>
      <c r="C11" s="7" t="s">
        <v>296</v>
      </c>
      <c r="D11" s="7" t="s">
        <v>297</v>
      </c>
      <c r="E11" s="15">
        <v>5</v>
      </c>
      <c r="F11" s="15">
        <f>F10+E11</f>
        <v>15</v>
      </c>
      <c r="G11" s="11"/>
      <c r="H11" s="14">
        <v>5</v>
      </c>
      <c r="I11" s="7" t="s">
        <v>298</v>
      </c>
      <c r="J11" s="7" t="s">
        <v>299</v>
      </c>
      <c r="K11" s="7" t="s">
        <v>300</v>
      </c>
      <c r="L11" s="15">
        <v>5</v>
      </c>
      <c r="M11" s="15">
        <f>M10+L11</f>
        <v>15</v>
      </c>
    </row>
    <row r="12" spans="1:13" ht="14.5">
      <c r="A12" s="1"/>
      <c r="B12" s="1"/>
      <c r="C12" s="1"/>
      <c r="D12" s="1"/>
      <c r="E12" s="1"/>
      <c r="F12" s="1"/>
      <c r="G12" s="11"/>
      <c r="H12" s="1"/>
      <c r="I12" s="1"/>
      <c r="J12" s="1"/>
      <c r="K12" s="1"/>
      <c r="L12" s="1"/>
      <c r="M12" s="1"/>
    </row>
    <row r="13" spans="1:13" ht="30" customHeight="1">
      <c r="A13" s="23" t="s">
        <v>97</v>
      </c>
      <c r="B13" s="23"/>
      <c r="C13" s="23"/>
      <c r="D13" s="23"/>
      <c r="E13" s="23"/>
      <c r="F13" s="23"/>
      <c r="G13" s="11"/>
      <c r="H13" s="23" t="s">
        <v>97</v>
      </c>
      <c r="I13" s="23"/>
      <c r="J13" s="23"/>
      <c r="K13" s="23"/>
      <c r="L13" s="23"/>
      <c r="M13" s="23"/>
    </row>
    <row r="14" spans="1:13" ht="14.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</row>
    <row r="15" spans="1:13" ht="14.5">
      <c r="A15" s="25" t="s">
        <v>98</v>
      </c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</row>
    <row r="16" spans="1:13" ht="24" customHeight="1">
      <c r="A16" s="26" t="s">
        <v>99</v>
      </c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8"/>
    </row>
    <row r="17" spans="1:13" ht="24" customHeight="1">
      <c r="A17" s="29"/>
      <c r="B17" s="30"/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1"/>
    </row>
    <row r="18" spans="1:13" ht="24" customHeight="1">
      <c r="A18" s="29"/>
      <c r="B18" s="30"/>
      <c r="C18" s="30"/>
      <c r="D18" s="30"/>
      <c r="E18" s="30"/>
      <c r="F18" s="30"/>
      <c r="G18" s="30"/>
      <c r="H18" s="30"/>
      <c r="I18" s="30"/>
      <c r="J18" s="30"/>
      <c r="K18" s="30"/>
      <c r="L18" s="30"/>
      <c r="M18" s="31"/>
    </row>
    <row r="19" spans="1:13" ht="24" customHeight="1">
      <c r="A19" s="32"/>
      <c r="B19" s="33"/>
      <c r="C19" s="33"/>
      <c r="D19" s="33"/>
      <c r="E19" s="33"/>
      <c r="F19" s="33"/>
      <c r="G19" s="33"/>
      <c r="H19" s="33"/>
      <c r="I19" s="33"/>
      <c r="J19" s="33"/>
      <c r="K19" s="33"/>
      <c r="L19" s="33"/>
      <c r="M19" s="34"/>
    </row>
    <row r="20" spans="1:13" ht="14.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</row>
  </sheetData>
  <mergeCells count="10">
    <mergeCell ref="A15:M15"/>
    <mergeCell ref="A16:M19"/>
    <mergeCell ref="A1:M1"/>
    <mergeCell ref="A2:M2"/>
    <mergeCell ref="A4:F4"/>
    <mergeCell ref="A5:F5"/>
    <mergeCell ref="A13:F13"/>
    <mergeCell ref="H4:M4"/>
    <mergeCell ref="H5:M5"/>
    <mergeCell ref="H13:M1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20"/>
  <sheetViews>
    <sheetView showGridLines="0" workbookViewId="0"/>
  </sheetViews>
  <sheetFormatPr defaultRowHeight="14"/>
  <cols>
    <col min="1" max="1" width="7" customWidth="1"/>
    <col min="2" max="2" width="22" customWidth="1"/>
    <col min="3" max="3" width="38" customWidth="1"/>
    <col min="4" max="4" width="25" customWidth="1"/>
    <col min="5" max="5" width="9" customWidth="1"/>
    <col min="6" max="6" width="12" customWidth="1"/>
    <col min="7" max="7" width="3" customWidth="1"/>
    <col min="8" max="8" width="7" customWidth="1"/>
    <col min="9" max="9" width="22" customWidth="1"/>
    <col min="10" max="10" width="38" customWidth="1"/>
    <col min="11" max="11" width="25" customWidth="1"/>
    <col min="12" max="12" width="9" customWidth="1"/>
    <col min="13" max="13" width="12" customWidth="1"/>
  </cols>
  <sheetData>
    <row r="1" spans="1:13" ht="34" customHeight="1">
      <c r="A1" s="16" t="s">
        <v>301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</row>
    <row r="2" spans="1:13" ht="28" customHeight="1">
      <c r="A2" s="18" t="s">
        <v>302</v>
      </c>
      <c r="B2" s="18" t="s">
        <v>302</v>
      </c>
      <c r="C2" s="18" t="s">
        <v>302</v>
      </c>
      <c r="D2" s="18" t="s">
        <v>302</v>
      </c>
      <c r="E2" s="18" t="s">
        <v>302</v>
      </c>
      <c r="F2" s="18" t="s">
        <v>302</v>
      </c>
      <c r="G2" s="18" t="s">
        <v>302</v>
      </c>
      <c r="H2" s="18" t="s">
        <v>302</v>
      </c>
      <c r="I2" s="18" t="s">
        <v>302</v>
      </c>
      <c r="J2" s="18" t="s">
        <v>302</v>
      </c>
      <c r="K2" s="18" t="s">
        <v>302</v>
      </c>
      <c r="L2" s="18" t="s">
        <v>302</v>
      </c>
      <c r="M2" s="18" t="s">
        <v>302</v>
      </c>
    </row>
    <row r="3" spans="1:13" ht="14.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ht="26" customHeight="1">
      <c r="A4" s="21" t="s">
        <v>53</v>
      </c>
      <c r="B4" s="21"/>
      <c r="C4" s="21"/>
      <c r="D4" s="21"/>
      <c r="E4" s="21"/>
      <c r="F4" s="21"/>
      <c r="G4" s="11"/>
      <c r="H4" s="24" t="s">
        <v>54</v>
      </c>
      <c r="I4" s="24"/>
      <c r="J4" s="24"/>
      <c r="K4" s="24"/>
      <c r="L4" s="24"/>
      <c r="M4" s="24"/>
    </row>
    <row r="5" spans="1:13" ht="34" customHeight="1">
      <c r="A5" s="22" t="s">
        <v>303</v>
      </c>
      <c r="B5" s="22"/>
      <c r="C5" s="22"/>
      <c r="D5" s="22"/>
      <c r="E5" s="22"/>
      <c r="F5" s="22"/>
      <c r="G5" s="11"/>
      <c r="H5" s="22" t="s">
        <v>304</v>
      </c>
      <c r="I5" s="22"/>
      <c r="J5" s="22"/>
      <c r="K5" s="22"/>
      <c r="L5" s="22"/>
      <c r="M5" s="22"/>
    </row>
    <row r="6" spans="1:13" ht="14.5">
      <c r="A6" s="2" t="s">
        <v>61</v>
      </c>
      <c r="B6" s="3" t="s">
        <v>62</v>
      </c>
      <c r="C6" s="3" t="s">
        <v>63</v>
      </c>
      <c r="D6" s="3" t="s">
        <v>64</v>
      </c>
      <c r="E6" s="3" t="s">
        <v>65</v>
      </c>
      <c r="F6" s="4" t="s">
        <v>66</v>
      </c>
      <c r="G6" s="11"/>
      <c r="H6" s="2" t="s">
        <v>61</v>
      </c>
      <c r="I6" s="3" t="s">
        <v>62</v>
      </c>
      <c r="J6" s="3" t="s">
        <v>63</v>
      </c>
      <c r="K6" s="3" t="s">
        <v>64</v>
      </c>
      <c r="L6" s="3" t="s">
        <v>65</v>
      </c>
      <c r="M6" s="4" t="s">
        <v>66</v>
      </c>
    </row>
    <row r="7" spans="1:13" ht="52" customHeight="1">
      <c r="A7" s="12">
        <v>1</v>
      </c>
      <c r="B7" s="5" t="s">
        <v>305</v>
      </c>
      <c r="C7" s="5" t="s">
        <v>306</v>
      </c>
      <c r="D7" s="5" t="s">
        <v>307</v>
      </c>
      <c r="E7" s="13">
        <v>1</v>
      </c>
      <c r="F7" s="13">
        <f>E7</f>
        <v>1</v>
      </c>
      <c r="G7" s="11"/>
      <c r="H7" s="12">
        <v>1</v>
      </c>
      <c r="I7" s="5" t="s">
        <v>308</v>
      </c>
      <c r="J7" s="5" t="s">
        <v>309</v>
      </c>
      <c r="K7" s="5" t="s">
        <v>310</v>
      </c>
      <c r="L7" s="13">
        <v>1</v>
      </c>
      <c r="M7" s="13">
        <f>L7</f>
        <v>1</v>
      </c>
    </row>
    <row r="8" spans="1:13" ht="52" customHeight="1">
      <c r="A8" s="14">
        <v>2</v>
      </c>
      <c r="B8" s="7" t="s">
        <v>311</v>
      </c>
      <c r="C8" s="7" t="s">
        <v>312</v>
      </c>
      <c r="D8" s="7" t="s">
        <v>313</v>
      </c>
      <c r="E8" s="15">
        <v>2</v>
      </c>
      <c r="F8" s="15">
        <f>F7+E8</f>
        <v>3</v>
      </c>
      <c r="G8" s="11"/>
      <c r="H8" s="14">
        <v>2</v>
      </c>
      <c r="I8" s="7" t="s">
        <v>314</v>
      </c>
      <c r="J8" s="7" t="s">
        <v>315</v>
      </c>
      <c r="K8" s="7" t="s">
        <v>316</v>
      </c>
      <c r="L8" s="15">
        <v>2</v>
      </c>
      <c r="M8" s="15">
        <f>M7+L8</f>
        <v>3</v>
      </c>
    </row>
    <row r="9" spans="1:13" ht="52" customHeight="1">
      <c r="A9" s="14">
        <v>3</v>
      </c>
      <c r="B9" s="7" t="s">
        <v>317</v>
      </c>
      <c r="C9" s="7" t="s">
        <v>318</v>
      </c>
      <c r="D9" s="7" t="s">
        <v>319</v>
      </c>
      <c r="E9" s="15">
        <v>3</v>
      </c>
      <c r="F9" s="15">
        <f>F8+E9</f>
        <v>6</v>
      </c>
      <c r="G9" s="11"/>
      <c r="H9" s="14">
        <v>3</v>
      </c>
      <c r="I9" s="7" t="s">
        <v>320</v>
      </c>
      <c r="J9" s="7" t="s">
        <v>321</v>
      </c>
      <c r="K9" s="7" t="s">
        <v>300</v>
      </c>
      <c r="L9" s="15">
        <v>3</v>
      </c>
      <c r="M9" s="15">
        <f>M8+L9</f>
        <v>6</v>
      </c>
    </row>
    <row r="10" spans="1:13" ht="52" customHeight="1">
      <c r="A10" s="14">
        <v>4</v>
      </c>
      <c r="B10" s="7" t="s">
        <v>322</v>
      </c>
      <c r="C10" s="7" t="s">
        <v>323</v>
      </c>
      <c r="D10" s="7" t="s">
        <v>324</v>
      </c>
      <c r="E10" s="15">
        <v>4</v>
      </c>
      <c r="F10" s="15">
        <f>F9+E10</f>
        <v>10</v>
      </c>
      <c r="G10" s="11"/>
      <c r="H10" s="14">
        <v>4</v>
      </c>
      <c r="I10" s="7" t="s">
        <v>325</v>
      </c>
      <c r="J10" s="7" t="s">
        <v>326</v>
      </c>
      <c r="K10" s="7" t="s">
        <v>327</v>
      </c>
      <c r="L10" s="15">
        <v>4</v>
      </c>
      <c r="M10" s="15">
        <f>M9+L10</f>
        <v>10</v>
      </c>
    </row>
    <row r="11" spans="1:13" ht="52" customHeight="1">
      <c r="A11" s="14">
        <v>5</v>
      </c>
      <c r="B11" s="7" t="s">
        <v>328</v>
      </c>
      <c r="C11" s="7" t="s">
        <v>329</v>
      </c>
      <c r="D11" s="7" t="s">
        <v>330</v>
      </c>
      <c r="E11" s="15">
        <v>5</v>
      </c>
      <c r="F11" s="15">
        <f>F10+E11</f>
        <v>15</v>
      </c>
      <c r="G11" s="11"/>
      <c r="H11" s="14">
        <v>5</v>
      </c>
      <c r="I11" s="7" t="s">
        <v>331</v>
      </c>
      <c r="J11" s="7" t="s">
        <v>332</v>
      </c>
      <c r="K11" s="7" t="s">
        <v>333</v>
      </c>
      <c r="L11" s="15">
        <v>5</v>
      </c>
      <c r="M11" s="15">
        <f>M10+L11</f>
        <v>15</v>
      </c>
    </row>
    <row r="12" spans="1:13" ht="14.5">
      <c r="A12" s="1"/>
      <c r="B12" s="1"/>
      <c r="C12" s="1"/>
      <c r="D12" s="1"/>
      <c r="E12" s="1"/>
      <c r="F12" s="1"/>
      <c r="G12" s="11"/>
      <c r="H12" s="1"/>
      <c r="I12" s="1"/>
      <c r="J12" s="1"/>
      <c r="K12" s="1"/>
      <c r="L12" s="1"/>
      <c r="M12" s="1"/>
    </row>
    <row r="13" spans="1:13" ht="30" customHeight="1">
      <c r="A13" s="23" t="s">
        <v>97</v>
      </c>
      <c r="B13" s="23"/>
      <c r="C13" s="23"/>
      <c r="D13" s="23"/>
      <c r="E13" s="23"/>
      <c r="F13" s="23"/>
      <c r="G13" s="11"/>
      <c r="H13" s="23" t="s">
        <v>97</v>
      </c>
      <c r="I13" s="23"/>
      <c r="J13" s="23"/>
      <c r="K13" s="23"/>
      <c r="L13" s="23"/>
      <c r="M13" s="23"/>
    </row>
    <row r="14" spans="1:13" ht="14.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</row>
    <row r="15" spans="1:13" ht="14.5">
      <c r="A15" s="25" t="s">
        <v>98</v>
      </c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</row>
    <row r="16" spans="1:13" ht="24" customHeight="1">
      <c r="A16" s="26" t="s">
        <v>99</v>
      </c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8"/>
    </row>
    <row r="17" spans="1:13" ht="24" customHeight="1">
      <c r="A17" s="29"/>
      <c r="B17" s="30"/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1"/>
    </row>
    <row r="18" spans="1:13" ht="24" customHeight="1">
      <c r="A18" s="29"/>
      <c r="B18" s="30"/>
      <c r="C18" s="30"/>
      <c r="D18" s="30"/>
      <c r="E18" s="30"/>
      <c r="F18" s="30"/>
      <c r="G18" s="30"/>
      <c r="H18" s="30"/>
      <c r="I18" s="30"/>
      <c r="J18" s="30"/>
      <c r="K18" s="30"/>
      <c r="L18" s="30"/>
      <c r="M18" s="31"/>
    </row>
    <row r="19" spans="1:13" ht="24" customHeight="1">
      <c r="A19" s="32"/>
      <c r="B19" s="33"/>
      <c r="C19" s="33"/>
      <c r="D19" s="33"/>
      <c r="E19" s="33"/>
      <c r="F19" s="33"/>
      <c r="G19" s="33"/>
      <c r="H19" s="33"/>
      <c r="I19" s="33"/>
      <c r="J19" s="33"/>
      <c r="K19" s="33"/>
      <c r="L19" s="33"/>
      <c r="M19" s="34"/>
    </row>
    <row r="20" spans="1:13" ht="14.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</row>
  </sheetData>
  <mergeCells count="10">
    <mergeCell ref="A15:M15"/>
    <mergeCell ref="A16:M19"/>
    <mergeCell ref="A1:M1"/>
    <mergeCell ref="A2:M2"/>
    <mergeCell ref="A4:F4"/>
    <mergeCell ref="A5:F5"/>
    <mergeCell ref="A13:F13"/>
    <mergeCell ref="H4:M4"/>
    <mergeCell ref="H5:M5"/>
    <mergeCell ref="H13:M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Overview</vt:lpstr>
      <vt:lpstr>Homing Missile</vt:lpstr>
      <vt:lpstr>Flak Cannon</vt:lpstr>
      <vt:lpstr>EMP Pulse</vt:lpstr>
      <vt:lpstr>Railgun</vt:lpstr>
      <vt:lpstr>Gravity Well</vt:lpstr>
      <vt:lpstr>Drone Squadron</vt:lpstr>
      <vt:lpstr>Scatter Core</vt:lpstr>
      <vt:lpstr>Seeking 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Ryan Kamemoto</cp:lastModifiedBy>
  <dcterms:modified xsi:type="dcterms:W3CDTF">2026-06-20T12:33:48Z</dcterms:modified>
</cp:coreProperties>
</file>