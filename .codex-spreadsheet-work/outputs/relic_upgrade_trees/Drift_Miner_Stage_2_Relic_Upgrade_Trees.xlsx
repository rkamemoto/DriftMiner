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9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53933d3b8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e29ff432bf3499b"/>
    <x:sheet xmlns:r="http://schemas.openxmlformats.org/officeDocument/2006/relationships" name="Homing Missile" sheetId="2" r:id="R89fae8c3ff994a17"/>
    <x:sheet xmlns:r="http://schemas.openxmlformats.org/officeDocument/2006/relationships" name="Flak Cannon" sheetId="3" r:id="R116f7fb9aa6043ca"/>
    <x:sheet xmlns:r="http://schemas.openxmlformats.org/officeDocument/2006/relationships" name="EMP Pulse" sheetId="4" r:id="R0a731f97dce1408d"/>
    <x:sheet xmlns:r="http://schemas.openxmlformats.org/officeDocument/2006/relationships" name="Railgun" sheetId="5" r:id="R07a1559dc7ca4431"/>
    <x:sheet xmlns:r="http://schemas.openxmlformats.org/officeDocument/2006/relationships" name="Gravity Well" sheetId="6" r:id="Rf537f1f2a6ca4956"/>
    <x:sheet xmlns:r="http://schemas.openxmlformats.org/officeDocument/2006/relationships" name="Drone Squadron" sheetId="7" r:id="Rc3b0159e9a924d99"/>
    <x:sheet xmlns:r="http://schemas.openxmlformats.org/officeDocument/2006/relationships" name="Scatter Core" sheetId="8" r:id="R8a4c97455aef4b73"/>
    <x:sheet xmlns:r="http://schemas.openxmlformats.org/officeDocument/2006/relationships" name="Seeking Matrix" sheetId="9" r:id="R1a68497607e8452e"/>
  </x:sheets>
</x:workbook>
</file>

<file path=xl/comments1.xml><?xml version="1.0" encoding="utf-8"?>
<x:comments xmlns:x="http://schemas.openxmlformats.org/spreadsheetml/2006/main">
  <x:authors>
    <x:author>tc={A75606E6-8050-5E85-4801-6D68EE08EDCE}</x:author>
  </x:authors>
  <x:commentList>
    <x:comment ref="A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notes area is intentionally editable for playtest findings and implementation decisions.</x:t>
        </x:r>
      </x:text>
    </x:comment>
  </x:commentList>
</x:comments>
</file>

<file path=xl/comments2.xml><?xml version="1.0" encoding="utf-8"?>
<x:comments xmlns:x="http://schemas.openxmlformats.org/spreadsheetml/2006/main">
  <x:authors>
    <x:author>tc={DC99EC38-6863-EE8F-0D54-6BFB40E5F6E6}</x:author>
  </x:authors>
  <x:commentList>
    <x:comment ref="A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notes area is intentionally editable for playtest findings and implementation decisions.</x:t>
        </x:r>
      </x:text>
    </x:comment>
  </x:commentList>
</x:comments>
</file>

<file path=xl/comments3.xml><?xml version="1.0" encoding="utf-8"?>
<x:comments xmlns:x="http://schemas.openxmlformats.org/spreadsheetml/2006/main">
  <x:authors>
    <x:author>tc={1F82E306-C2D7-31F8-D41C-071F187EE72F}</x:author>
  </x:authors>
  <x:commentList>
    <x:comment ref="A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notes area is intentionally editable for playtest findings and implementation decisions.</x:t>
        </x:r>
      </x:text>
    </x:comment>
  </x:commentList>
</x:comments>
</file>

<file path=xl/comments4.xml><?xml version="1.0" encoding="utf-8"?>
<x:comments xmlns:x="http://schemas.openxmlformats.org/spreadsheetml/2006/main">
  <x:authors>
    <x:author>tc={D2D929CD-B6B3-9FB8-79B3-EA19599A4D5D}</x:author>
  </x:authors>
  <x:commentList>
    <x:comment ref="A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notes area is intentionally editable for playtest findings and implementation decisions.</x:t>
        </x:r>
      </x:text>
    </x:comment>
  </x:commentList>
</x:comments>
</file>

<file path=xl/comments5.xml><?xml version="1.0" encoding="utf-8"?>
<x:comments xmlns:x="http://schemas.openxmlformats.org/spreadsheetml/2006/main">
  <x:authors>
    <x:author>tc={080439E3-63A0-18F1-8E21-B1AA97B78AA0}</x:author>
  </x:authors>
  <x:commentList>
    <x:comment ref="A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notes area is intentionally editable for playtest findings and implementation decisions.</x:t>
        </x:r>
      </x:text>
    </x:comment>
  </x:commentList>
</x:comments>
</file>

<file path=xl/comments6.xml><?xml version="1.0" encoding="utf-8"?>
<x:comments xmlns:x="http://schemas.openxmlformats.org/spreadsheetml/2006/main">
  <x:authors>
    <x:author>tc={1DBF8162-7A07-99F5-D308-9E8101A5DDE7}</x:author>
  </x:authors>
  <x:commentList>
    <x:comment ref="A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notes area is intentionally editable for playtest findings and implementation decisions.</x:t>
        </x:r>
      </x:text>
    </x:comment>
  </x:commentList>
</x:comments>
</file>

<file path=xl/comments7.xml><?xml version="1.0" encoding="utf-8"?>
<x:comments xmlns:x="http://schemas.openxmlformats.org/spreadsheetml/2006/main">
  <x:authors>
    <x:author>tc={5F41401D-9660-7122-7501-43E80F58C21C}</x:author>
  </x:authors>
  <x:commentList>
    <x:comment ref="A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notes area is intentionally editable for playtest findings and implementation decisions.</x:t>
        </x:r>
      </x:text>
    </x:comment>
  </x:commentList>
</x:comments>
</file>

<file path=xl/comments8.xml><?xml version="1.0" encoding="utf-8"?>
<x:comments xmlns:x="http://schemas.openxmlformats.org/spreadsheetml/2006/main">
  <x:authors>
    <x:author>tc={1A1DEE31-4DCB-38DB-60B5-21612FB134F9}</x:author>
  </x:authors>
  <x:commentList>
    <x:comment ref="A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notes area is intentionally editable for playtest findings and implementation decisions.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2">
    <x:font>
      <x:sz val="11"/>
      <x:name val="Carlito"/>
    </x:font>
    <x:font>
      <x:b/>
      <x:sz val="18"/>
      <x:color rgb="FFF3F1E8"/>
      <x:name val="Carlito"/>
    </x:font>
    <x:font>
      <x:i/>
      <x:sz val="10"/>
      <x:color rgb="FFA9B5BA"/>
      <x:name val="Carlito"/>
    </x:font>
    <x:font>
      <x:b/>
      <x:sz val="11"/>
      <x:color rgb="FFF3F1E8"/>
      <x:name val="Carlito"/>
    </x:font>
    <x:font>
      <x:sz val="9"/>
      <x:color rgb="FFF3F1E8"/>
      <x:name val="Carlito"/>
    </x:font>
    <x:font>
      <x:b/>
      <x:sz val="9"/>
      <x:color rgb="FF17324D"/>
      <x:name val="Carlito"/>
    </x:font>
    <x:font>
      <x:i/>
      <x:sz val="11"/>
      <x:color rgb="FFF2C45B"/>
      <x:name val="Carlito"/>
    </x:font>
    <x:font>
      <x:b/>
      <x:sz val="18"/>
      <x:color rgb="FFF3F1E8"/>
      <x:name val="Aptos"/>
    </x:font>
    <x:font>
      <x:sz val="11"/>
      <x:name val="Aptos"/>
    </x:font>
    <x:font>
      <x:i/>
      <x:sz val="10"/>
      <x:color rgb="FFA9B5BA"/>
      <x:name val="Aptos"/>
    </x:font>
    <x:font>
      <x:b/>
      <x:sz val="11"/>
      <x:color rgb="FFF3F1E8"/>
      <x:name val="Aptos"/>
    </x:font>
    <x:font>
      <x:sz val="9"/>
      <x:color rgb="FFF3F1E8"/>
      <x:name val="Aptos"/>
    </x:font>
    <x:font>
      <x:b/>
      <x:sz val="9"/>
      <x:color rgb="FF17324D"/>
      <x:name val="Aptos"/>
    </x:font>
    <x:font>
      <x:i/>
      <x:sz val="11"/>
      <x:color rgb="FFF2C45B"/>
      <x:name val="Aptos"/>
    </x:font>
    <x:font>
      <x:b/>
      <x:sz val="13"/>
      <x:color rgb="FFF3F1E8"/>
      <x:name val="Carlito"/>
    </x:font>
    <x:font>
      <x:i/>
      <x:sz val="9"/>
      <x:color rgb="FFA9B5BA"/>
      <x:name val="Carlito"/>
    </x:font>
    <x:font>
      <x:b/>
      <x:sz val="11"/>
      <x:color rgb="FFF2C45B"/>
      <x:name val="Carlito"/>
    </x:font>
    <x:font>
      <x:sz val="11"/>
      <x:color rgb="FF17324D"/>
      <x:name val="Carlito"/>
    </x:font>
    <x:font>
      <x:b/>
      <x:sz val="13"/>
      <x:color rgb="FFF3F1E8"/>
      <x:name val="Aptos"/>
    </x:font>
    <x:font>
      <x:i/>
      <x:sz val="9"/>
      <x:color rgb="FFA9B5BA"/>
      <x:name val="Aptos"/>
    </x:font>
    <x:font>
      <x:b/>
      <x:sz val="11"/>
      <x:color rgb="FFF2C45B"/>
      <x:name val="Aptos"/>
    </x:font>
    <x:font>
      <x:sz val="11"/>
      <x:color rgb="FF17324D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0161A"/>
      </x:patternFill>
    </x:fill>
    <x:fill>
      <x:patternFill patternType="solid">
        <x:fgColor rgb="FF182126"/>
      </x:patternFill>
    </x:fill>
    <x:fill>
      <x:patternFill patternType="solid">
        <x:fgColor rgb="FFDDEBF7"/>
      </x:patternFill>
    </x:fill>
    <x:fill>
      <x:patternFill patternType="solid">
        <x:fgColor rgb="FF202B31"/>
      </x:patternFill>
    </x:fill>
    <x:fill>
      <x:patternFill patternType="solid">
        <x:fgColor rgb="FF1F5E5A"/>
      </x:patternFill>
    </x:fill>
    <x:fill>
      <x:patternFill patternType="solid">
        <x:fgColor rgb="FF263138"/>
      </x:patternFill>
    </x:fill>
    <x:fill>
      <x:patternFill patternType="solid">
        <x:fgColor rgb="FF725C20"/>
      </x:patternFill>
    </x:fill>
    <x:fill>
      <x:patternFill patternType="solid">
        <x:fgColor rgb="FFEAF2F8"/>
      </x:patternFill>
    </x:fill>
  </x:fills>
  <x:borders count="12">
    <x:border/>
    <x:border>
      <x:left style="thin">
        <x:color rgb="FF40505B"/>
      </x:left>
      <x:top style="thin">
        <x:color rgb="FF40505B"/>
      </x:top>
      <x:bottom style="thin">
        <x:color rgb="FF40505B"/>
      </x:bottom>
    </x:border>
    <x:border>
      <x:top style="thin">
        <x:color rgb="FF40505B"/>
      </x:top>
      <x:bottom style="thin">
        <x:color rgb="FF40505B"/>
      </x:bottom>
    </x:border>
    <x:border>
      <x:right style="thin">
        <x:color rgb="FF40505B"/>
      </x:right>
      <x:top style="thin">
        <x:color rgb="FF40505B"/>
      </x:top>
      <x:bottom style="thin">
        <x:color rgb="FF40505B"/>
      </x:bottom>
    </x:border>
    <x:border>
      <x:bottom style="thin">
        <x:color rgb="FF40505B"/>
      </x:bottom>
    </x:border>
    <x:border>
      <x:top style="thin">
        <x:color rgb="FF40505B"/>
      </x:top>
    </x:border>
    <x:border>
      <x:left style="thin">
        <x:color rgb="FF40505B"/>
      </x:left>
      <x:top style="thin">
        <x:color rgb="FF40505B"/>
      </x:top>
    </x:border>
    <x:border>
      <x:right style="thin">
        <x:color rgb="FF40505B"/>
      </x:right>
      <x:top style="thin">
        <x:color rgb="FF40505B"/>
      </x:top>
    </x:border>
    <x:border>
      <x:left style="thin">
        <x:color rgb="FF40505B"/>
      </x:left>
    </x:border>
    <x:border>
      <x:right style="thin">
        <x:color rgb="FF40505B"/>
      </x:right>
    </x:border>
    <x:border>
      <x:left style="thin">
        <x:color rgb="FF40505B"/>
      </x:left>
      <x:bottom style="thin">
        <x:color rgb="FF40505B"/>
      </x:bottom>
    </x:border>
    <x:border>
      <x:right style="thin">
        <x:color rgb="FF40505B"/>
      </x:right>
      <x:bottom style="thin">
        <x:color rgb="FF40505B"/>
      </x:bottom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/>
    <x:xf numFmtId="0" fontId="4" fillId="3" borderId="5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200" fontId="5" fillId="4" borderId="4" xfId="0" applyNumberFormat="1" applyFont="1" applyFill="1" applyBorder="1" applyAlignment="1">
      <x:alignment vertical="top" wrapText="1"/>
    </x:xf>
    <x:xf numFmtId="200" fontId="5" fillId="4" borderId="2" xfId="0" applyNumberFormat="1" applyFont="1" applyFill="1" applyBorder="1" applyAlignment="1">
      <x:alignment vertical="top" wrapText="1"/>
    </x:xf>
    <x:xf numFmtId="200" fontId="5" fillId="4" borderId="5" xfId="0" applyNumberFormat="1" applyFont="1" applyFill="1" applyBorder="1" applyAlignment="1">
      <x:alignment vertical="top" wrapText="1"/>
    </x:xf>
    <x:xf numFmtId="200" fontId="5" fillId="4" borderId="4" xfId="0" applyNumberFormat="1" applyFont="1" applyFill="1" applyBorder="1" applyAlignment="1">
      <x:alignment horizontal="center" vertical="top" wrapText="1"/>
    </x:xf>
    <x:xf numFmtId="200" fontId="5" fillId="4" borderId="2" xfId="0" applyNumberFormat="1" applyFont="1" applyFill="1" applyBorder="1" applyAlignment="1">
      <x:alignment horizontal="center" vertical="top" wrapText="1"/>
    </x:xf>
    <x:xf numFmtId="200" fontId="5" fillId="4" borderId="5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0" fillId="2" borderId="3" xfId="0" applyNumberFormat="1" applyFont="1" applyFill="1" applyBorder="1" applyAlignment="1">
      <x:alignment horizontal="center" vertical="center"/>
    </x:xf>
    <x:xf numFmtId="0" fontId="11" fillId="3" borderId="4" xfId="0" applyNumberFormat="1" applyFont="1" applyFill="1" applyBorder="1" applyAlignment="1">
      <x:alignment vertical="top" wrapText="1"/>
    </x:xf>
    <x:xf numFmtId="200" fontId="12" fillId="4" borderId="4" xfId="0" applyNumberFormat="1" applyFont="1" applyFill="1" applyBorder="1" applyAlignment="1">
      <x:alignment horizontal="center" vertical="top" wrapText="1"/>
    </x:xf>
    <x:xf numFmtId="0" fontId="11" fillId="3" borderId="2" xfId="0" applyNumberFormat="1" applyFont="1" applyFill="1" applyBorder="1" applyAlignment="1">
      <x:alignment vertical="top" wrapText="1"/>
    </x:xf>
    <x:xf numFmtId="200" fontId="12" fillId="4" borderId="2" xfId="0" applyNumberFormat="1" applyFont="1" applyFill="1" applyBorder="1" applyAlignment="1">
      <x:alignment horizontal="center" vertical="top" wrapText="1"/>
    </x:xf>
    <x:xf numFmtId="0" fontId="11" fillId="3" borderId="5" xfId="0" applyNumberFormat="1" applyFont="1" applyFill="1" applyBorder="1" applyAlignment="1">
      <x:alignment vertical="top" wrapText="1"/>
    </x:xf>
    <x:xf numFmtId="200" fontId="12" fillId="4" borderId="5" xfId="0" applyNumberFormat="1" applyFont="1" applyFill="1" applyBorder="1" applyAlignment="1">
      <x:alignment horizontal="center" vertical="top" wrapText="1"/>
    </x:xf>
    <x:xf numFmtId="0" fontId="1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horizontal="center"/>
    </x:xf>
    <x:xf numFmtId="0" fontId="14" fillId="6" borderId="0" xfId="0" applyNumberFormat="1" applyFont="1" applyFill="1" applyBorder="1" applyAlignment="1">
      <x:alignment horizontal="center" vertical="center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200" fontId="4" fillId="3" borderId="4" xfId="0" applyNumberFormat="1" applyFont="1" applyFill="1" applyBorder="1" applyAlignment="1">
      <x:alignment horizontal="center" vertical="top" wrapText="1"/>
    </x:xf>
    <x:xf numFmtId="200" fontId="4" fillId="3" borderId="2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15" fillId="7" borderId="0" xfId="0" applyNumberFormat="1" applyFont="1" applyFill="1" applyBorder="1"/>
    <x:xf numFmtId="0" fontId="1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horizontal="center"/>
    </x:xf>
    <x:xf numFmtId="0" fontId="14" fillId="8" borderId="0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/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6" xfId="0" applyNumberFormat="1" applyFont="1" applyFill="1" applyBorder="1"/>
    <x:xf numFmtId="0" fontId="17" fillId="9" borderId="5" xfId="0" applyNumberFormat="1" applyFont="1" applyFill="1" applyBorder="1"/>
    <x:xf numFmtId="0" fontId="17" fillId="9" borderId="7" xfId="0" applyNumberFormat="1" applyFont="1" applyFill="1" applyBorder="1"/>
    <x:xf numFmtId="0" fontId="17" fillId="9" borderId="8" xfId="0" applyNumberFormat="1" applyFont="1" applyFill="1" applyBorder="1"/>
    <x:xf numFmtId="0" fontId="17" fillId="9" borderId="9" xfId="0" applyNumberFormat="1" applyFont="1" applyFill="1" applyBorder="1"/>
    <x:xf numFmtId="0" fontId="17" fillId="9" borderId="10" xfId="0" applyNumberFormat="1" applyFont="1" applyFill="1" applyBorder="1"/>
    <x:xf numFmtId="0" fontId="17" fillId="9" borderId="4" xfId="0" applyNumberFormat="1" applyFont="1" applyFill="1" applyBorder="1"/>
    <x:xf numFmtId="0" fontId="17" fillId="9" borderId="11" xfId="0" applyNumberFormat="1" applyFont="1" applyFill="1" applyBorder="1"/>
    <x:xf numFmtId="0" fontId="17" fillId="9" borderId="6" xfId="0" applyNumberFormat="1" applyFont="1" applyFill="1" applyBorder="1" applyAlignment="1">
      <x:alignment wrapText="1"/>
    </x:xf>
    <x:xf numFmtId="0" fontId="17" fillId="9" borderId="5" xfId="0" applyNumberFormat="1" applyFont="1" applyFill="1" applyBorder="1" applyAlignment="1">
      <x:alignment wrapText="1"/>
    </x:xf>
    <x:xf numFmtId="0" fontId="17" fillId="9" borderId="7" xfId="0" applyNumberFormat="1" applyFont="1" applyFill="1" applyBorder="1" applyAlignment="1">
      <x:alignment wrapText="1"/>
    </x:xf>
    <x:xf numFmtId="0" fontId="17" fillId="9" borderId="8" xfId="0" applyNumberFormat="1" applyFont="1" applyFill="1" applyBorder="1" applyAlignment="1">
      <x:alignment wrapText="1"/>
    </x:xf>
    <x:xf numFmtId="0" fontId="17" fillId="9" borderId="0" xfId="0" applyNumberFormat="1" applyFont="1" applyFill="1" applyBorder="1" applyAlignment="1">
      <x:alignment wrapText="1"/>
    </x:xf>
    <x:xf numFmtId="0" fontId="17" fillId="9" borderId="9" xfId="0" applyNumberFormat="1" applyFont="1" applyFill="1" applyBorder="1" applyAlignment="1">
      <x:alignment wrapText="1"/>
    </x:xf>
    <x:xf numFmtId="0" fontId="17" fillId="9" borderId="10" xfId="0" applyNumberFormat="1" applyFont="1" applyFill="1" applyBorder="1" applyAlignment="1">
      <x:alignment wrapText="1"/>
    </x:xf>
    <x:xf numFmtId="0" fontId="17" fillId="9" borderId="4" xfId="0" applyNumberFormat="1" applyFont="1" applyFill="1" applyBorder="1" applyAlignment="1">
      <x:alignment wrapText="1"/>
    </x:xf>
    <x:xf numFmtId="0" fontId="17" fillId="9" borderId="11" xfId="0" applyNumberFormat="1" applyFont="1" applyFill="1" applyBorder="1" applyAlignment="1">
      <x:alignment wrapText="1"/>
    </x:xf>
    <x:xf numFmtId="0" fontId="17" fillId="9" borderId="6" xfId="0" applyNumberFormat="1" applyFont="1" applyFill="1" applyBorder="1" applyAlignment="1">
      <x:alignment vertical="top" wrapText="1"/>
    </x:xf>
    <x:xf numFmtId="0" fontId="17" fillId="9" borderId="5" xfId="0" applyNumberFormat="1" applyFont="1" applyFill="1" applyBorder="1" applyAlignment="1">
      <x:alignment vertical="top" wrapText="1"/>
    </x:xf>
    <x:xf numFmtId="0" fontId="17" fillId="9" borderId="7" xfId="0" applyNumberFormat="1" applyFont="1" applyFill="1" applyBorder="1" applyAlignment="1">
      <x:alignment vertical="top" wrapText="1"/>
    </x:xf>
    <x:xf numFmtId="0" fontId="17" fillId="9" borderId="8" xfId="0" applyNumberFormat="1" applyFont="1" applyFill="1" applyBorder="1" applyAlignment="1">
      <x:alignment vertical="top" wrapText="1"/>
    </x:xf>
    <x:xf numFmtId="0" fontId="17" fillId="9" borderId="0" xfId="0" applyNumberFormat="1" applyFont="1" applyFill="1" applyBorder="1" applyAlignment="1">
      <x:alignment vertical="top" wrapText="1"/>
    </x:xf>
    <x:xf numFmtId="0" fontId="17" fillId="9" borderId="9" xfId="0" applyNumberFormat="1" applyFont="1" applyFill="1" applyBorder="1" applyAlignment="1">
      <x:alignment vertical="top" wrapText="1"/>
    </x:xf>
    <x:xf numFmtId="0" fontId="17" fillId="9" borderId="10" xfId="0" applyNumberFormat="1" applyFont="1" applyFill="1" applyBorder="1" applyAlignment="1">
      <x:alignment vertical="top" wrapText="1"/>
    </x:xf>
    <x:xf numFmtId="0" fontId="17" fillId="9" borderId="4" xfId="0" applyNumberFormat="1" applyFont="1" applyFill="1" applyBorder="1" applyAlignment="1">
      <x:alignment vertical="top" wrapText="1"/>
    </x:xf>
    <x:xf numFmtId="0" fontId="17" fillId="9" borderId="11" xfId="0" applyNumberFormat="1" applyFont="1" applyFill="1" applyBorder="1" applyAlignment="1">
      <x:alignment vertical="top" wrapText="1"/>
    </x:xf>
    <x:xf numFmtId="0" fontId="18" fillId="6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18" fillId="8" borderId="0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vertical="center" wrapText="1"/>
    </x:xf>
    <x:xf numFmtId="0" fontId="11" fillId="3" borderId="4" xfId="0" applyNumberFormat="1" applyFont="1" applyFill="1" applyBorder="1" applyAlignment="1">
      <x:alignment horizontal="center" vertical="top" wrapText="1"/>
    </x:xf>
    <x:xf numFmtId="200" fontId="11" fillId="3" borderId="4" xfId="0" applyNumberFormat="1" applyFont="1" applyFill="1" applyBorder="1" applyAlignment="1">
      <x:alignment horizontal="center" vertical="top" wrapText="1"/>
    </x:xf>
    <x:xf numFmtId="0" fontId="11" fillId="3" borderId="2" xfId="0" applyNumberFormat="1" applyFont="1" applyFill="1" applyBorder="1" applyAlignment="1">
      <x:alignment horizontal="center" vertical="top" wrapText="1"/>
    </x:xf>
    <x:xf numFmtId="200" fontId="11" fillId="3" borderId="2" xfId="0" applyNumberFormat="1" applyFont="1" applyFill="1" applyBorder="1" applyAlignment="1">
      <x:alignment horizontal="center" vertical="top" wrapText="1"/>
    </x:xf>
    <x:xf numFmtId="0" fontId="19" fillId="7" borderId="0" xfId="0" applyNumberFormat="1" applyFont="1" applyFill="1" applyBorder="1" applyAlignment="1">
      <x:alignment wrapText="1"/>
    </x:xf>
    <x:xf numFmtId="0" fontId="20" fillId="2" borderId="0" xfId="0" applyNumberFormat="1" applyFont="1" applyFill="1" applyBorder="1"/>
    <x:xf numFmtId="0" fontId="21" fillId="9" borderId="6" xfId="0" applyNumberFormat="1" applyFont="1" applyFill="1" applyBorder="1" applyAlignment="1">
      <x:alignment vertical="top" wrapText="1"/>
    </x:xf>
    <x:xf numFmtId="0" fontId="21" fillId="9" borderId="5" xfId="0" applyNumberFormat="1" applyFont="1" applyFill="1" applyBorder="1" applyAlignment="1">
      <x:alignment vertical="top" wrapText="1"/>
    </x:xf>
    <x:xf numFmtId="0" fontId="21" fillId="9" borderId="7" xfId="0" applyNumberFormat="1" applyFont="1" applyFill="1" applyBorder="1" applyAlignment="1">
      <x:alignment vertical="top" wrapText="1"/>
    </x:xf>
    <x:xf numFmtId="0" fontId="21" fillId="9" borderId="8" xfId="0" applyNumberFormat="1" applyFont="1" applyFill="1" applyBorder="1" applyAlignment="1">
      <x:alignment vertical="top" wrapText="1"/>
    </x:xf>
    <x:xf numFmtId="0" fontId="21" fillId="9" borderId="0" xfId="0" applyNumberFormat="1" applyFont="1" applyFill="1" applyBorder="1" applyAlignment="1">
      <x:alignment vertical="top" wrapText="1"/>
    </x:xf>
    <x:xf numFmtId="0" fontId="21" fillId="9" borderId="9" xfId="0" applyNumberFormat="1" applyFont="1" applyFill="1" applyBorder="1" applyAlignment="1">
      <x:alignment vertical="top" wrapText="1"/>
    </x:xf>
    <x:xf numFmtId="0" fontId="21" fillId="9" borderId="10" xfId="0" applyNumberFormat="1" applyFont="1" applyFill="1" applyBorder="1" applyAlignment="1">
      <x:alignment vertical="top" wrapText="1"/>
    </x:xf>
    <x:xf numFmtId="0" fontId="21" fillId="9" borderId="4" xfId="0" applyNumberFormat="1" applyFont="1" applyFill="1" applyBorder="1" applyAlignment="1">
      <x:alignment vertical="top" wrapText="1"/>
    </x:xf>
    <x:xf numFmtId="0" fontId="21" fillId="9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e66f1192c4186" /><Relationship Type="http://schemas.openxmlformats.org/officeDocument/2006/relationships/theme" Target="/xl/theme/theme1.xml" Id="R6229aa7fc7a04e0c" /><Relationship Type="http://schemas.openxmlformats.org/officeDocument/2006/relationships/sharedStrings" Target="/xl/sharedStrings.xml" Id="R38165c2ce69e41a5" /><Relationship Type="http://schemas.openxmlformats.org/officeDocument/2006/relationships/worksheet" Target="/xl/worksheets/sheet1.xml" Id="R4e29ff432bf3499b" /><Relationship Type="http://schemas.openxmlformats.org/officeDocument/2006/relationships/worksheet" Target="/xl/worksheets/sheet2.xml" Id="R89fae8c3ff994a17" /><Relationship Type="http://schemas.openxmlformats.org/officeDocument/2006/relationships/worksheet" Target="/xl/worksheets/sheet3.xml" Id="R116f7fb9aa6043ca" /><Relationship Type="http://schemas.openxmlformats.org/officeDocument/2006/relationships/worksheet" Target="/xl/worksheets/sheet4.xml" Id="R0a731f97dce1408d" /><Relationship Type="http://schemas.openxmlformats.org/officeDocument/2006/relationships/worksheet" Target="/xl/worksheets/sheet5.xml" Id="R07a1559dc7ca4431" /><Relationship Type="http://schemas.openxmlformats.org/officeDocument/2006/relationships/worksheet" Target="/xl/worksheets/sheet6.xml" Id="Rf537f1f2a6ca4956" /><Relationship Type="http://schemas.openxmlformats.org/officeDocument/2006/relationships/worksheet" Target="/xl/worksheets/sheet7.xml" Id="Rc3b0159e9a924d99" /><Relationship Type="http://schemas.openxmlformats.org/officeDocument/2006/relationships/worksheet" Target="/xl/worksheets/sheet8.xml" Id="R8a4c97455aef4b73" /><Relationship Type="http://schemas.openxmlformats.org/officeDocument/2006/relationships/worksheet" Target="/xl/worksheets/sheet9.xml" Id="R1a68497607e8452e" /><Relationship Type="http://schemas.microsoft.com/office/2017/10/relationships/person" Target="/xl/persons/person.xml" Id="R2e07f00ff06b4e9d" /></Relationships>
</file>

<file path=xl/persons/person.xml><?xml version="1.0" encoding="utf-8"?>
<xltc:personList xmlns:xltc="http://schemas.microsoft.com/office/spreadsheetml/2018/threadedcomments">
  <xltc:person displayName="Ryan Kamemoto" id="{D03697DF-3E9B-4DE1-BAEB-B9C1D7911F9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6" dT="2026-06-20T12:16:22.277" personId="{D03697DF-3E9B-4DE1-BAEB-B9C1D7911F92}" id="{A75606E6-8050-5E85-4801-6D68EE08EDCE}">
    <xltc:text>This notes area is intentionally editable for playtest findings and implementation decisions.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6" dT="2026-06-20T12:16:22.341" personId="{D03697DF-3E9B-4DE1-BAEB-B9C1D7911F92}" id="{DC99EC38-6863-EE8F-0D54-6BFB40E5F6E6}">
    <xltc:text>This notes area is intentionally editable for playtest findings and implementation decisions.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6" dT="2026-06-20T12:16:22.402" personId="{D03697DF-3E9B-4DE1-BAEB-B9C1D7911F92}" id="{1F82E306-C2D7-31F8-D41C-071F187EE72F}">
    <xltc:text>This notes area is intentionally editable for playtest findings and implementation decisions.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6" dT="2026-06-20T12:16:22.501" personId="{D03697DF-3E9B-4DE1-BAEB-B9C1D7911F92}" id="{D2D929CD-B6B3-9FB8-79B3-EA19599A4D5D}">
    <xltc:text>This notes area is intentionally editable for playtest findings and implementation decisions.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6" dT="2026-06-20T12:16:22.57" personId="{D03697DF-3E9B-4DE1-BAEB-B9C1D7911F92}" id="{080439E3-63A0-18F1-8E21-B1AA97B78AA0}">
    <xltc:text>This notes area is intentionally editable for playtest findings and implementation decisions.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6" dT="2026-06-20T12:16:22.658" personId="{D03697DF-3E9B-4DE1-BAEB-B9C1D7911F92}" id="{1DBF8162-7A07-99F5-D308-9E8101A5DDE7}">
    <xltc:text>This notes area is intentionally editable for playtest findings and implementation decisions.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6" dT="2026-06-20T12:16:22.716" personId="{D03697DF-3E9B-4DE1-BAEB-B9C1D7911F92}" id="{5F41401D-9660-7122-7501-43E80F58C21C}">
    <xltc:text>This notes area is intentionally editable for playtest findings and implementation decisions.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6" dT="2026-06-20T12:16:22.77" personId="{D03697DF-3E9B-4DE1-BAEB-B9C1D7911F92}" id="{1A1DEE31-4DCB-38DB-60B5-21612FB134F9}">
    <xltc:text>This notes area is intentionally editable for playtest findings and implementation decisions.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e0478cb2c13454f" /><Relationship Type="http://schemas.openxmlformats.org/officeDocument/2006/relationships/vmlDrawing" Target="/xl/drawings/vmldrawing.vml" Id="Ra087a7abcd5848bb" /><Relationship Type="http://schemas.microsoft.com/office/2017/10/relationships/threadedComment" Target="/xl/threadedcomments/threadedcomment.xml" Id="Re1ed8d8a5f0842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0190de0333544587" /><Relationship Type="http://schemas.openxmlformats.org/officeDocument/2006/relationships/vmlDrawing" Target="/xl/drawings/vmldrawing2.vml" Id="Rd2352b5b02cd4667" /><Relationship Type="http://schemas.microsoft.com/office/2017/10/relationships/threadedComment" Target="/xl/threadedcomments/threadedcomment2.xml" Id="Rd18af39ef2254c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2a43934778ec431e" /><Relationship Type="http://schemas.openxmlformats.org/officeDocument/2006/relationships/vmlDrawing" Target="/xl/drawings/vmldrawing3.vml" Id="Ra3fe9a469de141f3" /><Relationship Type="http://schemas.microsoft.com/office/2017/10/relationships/threadedComment" Target="/xl/threadedcomments/threadedcomment3.xml" Id="Ra4ac0030040948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f8ef1f81edc1464a" /><Relationship Type="http://schemas.openxmlformats.org/officeDocument/2006/relationships/vmlDrawing" Target="/xl/drawings/vmldrawing4.vml" Id="R8f090e289e014fa0" /><Relationship Type="http://schemas.microsoft.com/office/2017/10/relationships/threadedComment" Target="/xl/threadedcomments/threadedcomment4.xml" Id="R07125ef2580747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f20988096c3a4b57" /><Relationship Type="http://schemas.openxmlformats.org/officeDocument/2006/relationships/vmlDrawing" Target="/xl/drawings/vmldrawing5.vml" Id="Rf9ed7558f9164c9a" /><Relationship Type="http://schemas.microsoft.com/office/2017/10/relationships/threadedComment" Target="/xl/threadedcomments/threadedcomment5.xml" Id="Rf5d3e5d5d9614e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6.xml" Id="Re9b18b0890bd4ae4" /><Relationship Type="http://schemas.openxmlformats.org/officeDocument/2006/relationships/vmlDrawing" Target="/xl/drawings/vmldrawing6.vml" Id="Rdf38cae0b41f47c6" /><Relationship Type="http://schemas.microsoft.com/office/2017/10/relationships/threadedComment" Target="/xl/threadedcomments/threadedcomment6.xml" Id="Rcc140259dbfe44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7.xml" Id="Rd4cc91bd59bf40e0" /><Relationship Type="http://schemas.openxmlformats.org/officeDocument/2006/relationships/vmlDrawing" Target="/xl/drawings/vmldrawing7.vml" Id="Rc4a6181aef204294" /><Relationship Type="http://schemas.microsoft.com/office/2017/10/relationships/threadedComment" Target="/xl/threadedcomments/threadedcomment7.xml" Id="Rff6178a0904548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8.xml" Id="R895b0a54402a4235" /><Relationship Type="http://schemas.openxmlformats.org/officeDocument/2006/relationships/vmlDrawing" Target="/xl/drawings/vmldrawing8.vml" Id="R6ac98400f9f94243" /><Relationship Type="http://schemas.microsoft.com/office/2017/10/relationships/threadedComment" Target="/xl/threadedcomments/threadedcomment8.xml" Id="R6a96e4e96b0b43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24" hidden="0" customWidth="1"/>
    <x:col min="5" max="5" width="24" hidden="0" customWidth="1"/>
    <x:col min="6" max="6" width="13" hidden="0" customWidth="1"/>
    <x:col min="7" max="7" width="13" hidden="0" customWidth="1"/>
    <x:col min="8" max="8" width="52" hidden="0" customWidth="1"/>
  </x:cols>
  <x:sheetData>
    <x:row r="1" ht="21.600000381469727" hidden="0" customHeight="1">
      <x:c r="A1" s="42" t="str">
        <x:v>Drift Miner Stage 2 - Relic Upgrade Trees</x:v>
      </x:c>
      <x:c r="B1" s="43"/>
      <x:c r="C1" s="43"/>
      <x:c r="D1" s="43"/>
      <x:c r="E1" s="43"/>
      <x:c r="F1" s="43"/>
      <x:c r="G1" s="43"/>
      <x:c r="H1" s="43"/>
    </x:row>
    <x:row r="2" ht="15" hidden="0" customHeight="1">
      <x:c r="A2" s="44" t="str">
        <x:v>Editable design workbook: two five-tier paths for each relic. Costs and effects are starting proposals.</x:v>
      </x:c>
      <x:c r="B2" s="44" t="str">
        <x:v>Editable design workbook: two five-tier paths for each relic. Costs and effects are starting proposals.</x:v>
      </x:c>
      <x:c r="C2" s="44" t="str">
        <x:v>Editable design workbook: two five-tier paths for each relic. Costs and effects are starting proposals.</x:v>
      </x:c>
      <x:c r="D2" s="44" t="str">
        <x:v>Editable design workbook: two five-tier paths for each relic. Costs and effects are starting proposals.</x:v>
      </x:c>
      <x:c r="E2" s="44" t="str">
        <x:v>Editable design workbook: two five-tier paths for each relic. Costs and effects are starting proposals.</x:v>
      </x:c>
      <x:c r="F2" s="44" t="str">
        <x:v>Editable design workbook: two five-tier paths for each relic. Costs and effects are starting proposals.</x:v>
      </x:c>
      <x:c r="G2" s="44" t="str">
        <x:v>Editable design workbook: two five-tier paths for each relic. Costs and effects are starting proposals.</x:v>
      </x:c>
      <x:c r="H2" s="44" t="str">
        <x:v>Editable design workbook: two five-tier paths for each relic. Costs and effects are starting proposals.</x:v>
      </x:c>
      <x:c r="I2" s="6" t="str">
        <x:v>Editable design workbook: two five-tier paths for each relic. Costs and effects are starting proposals.</x:v>
      </x:c>
      <x:c r="J2" s="6" t="str">
        <x:v>Editable design workbook: two five-tier paths for each relic. Costs and effects are starting proposals.</x:v>
      </x:c>
      <x:c r="K2" s="6" t="str">
        <x:v>Editable design workbook: two five-tier paths for each relic. Costs and effects are starting proposals.</x:v>
      </x:c>
      <x:c r="L2" s="6" t="str">
        <x:v>Editable design workbook: two five-tier paths for each relic. Costs and effects are starting proposals.</x:v>
      </x:c>
      <x:c r="M2" s="6" t="str">
        <x:v>Editable design workbook: two five-tier paths for each relic. Costs and effects are starting proposals.</x:v>
      </x:c>
    </x:row>
    <x:row r="3" ht="15" hidden="0" customHeight="1">
      <x:c r="A3" s="43"/>
      <x:c r="B3" s="43"/>
      <x:c r="C3" s="43"/>
      <x:c r="D3" s="43"/>
      <x:c r="E3" s="43"/>
      <x:c r="F3" s="43"/>
      <x:c r="G3" s="43"/>
      <x:c r="H3" s="43"/>
    </x:row>
    <x:row r="4" ht="15" hidden="0" customHeight="1">
      <x:c r="A4" s="45" t="str">
        <x:v>Relic</x:v>
      </x:c>
      <x:c r="B4" s="46" t="str">
        <x:v>Combat Role</x:v>
      </x:c>
      <x:c r="C4" s="46" t="str">
        <x:v>Control</x:v>
      </x:c>
      <x:c r="D4" s="46" t="str">
        <x:v>Path A</x:v>
      </x:c>
      <x:c r="E4" s="46" t="str">
        <x:v>Path B</x:v>
      </x:c>
      <x:c r="F4" s="46" t="str">
        <x:v>Path A Cost</x:v>
      </x:c>
      <x:c r="G4" s="46" t="str">
        <x:v>Path B Cost</x:v>
      </x:c>
      <x:c r="H4" s="47" t="str">
        <x:v>Design Intent</x:v>
      </x:c>
    </x:row>
    <x:row r="5" ht="162" hidden="0" customHeight="1">
      <x:c r="A5" s="48" t="str">
        <x:v>Homing Missile</x:v>
      </x:c>
      <x:c r="B5" s="48" t="str">
        <x:v>Heavy guided salvo</x:v>
      </x:c>
      <x:c r="C5" s="48" t="str">
        <x:v>Y / H</x:v>
      </x:c>
      <x:c r="D5" s="48" t="str">
        <x:v>Swarm Doctrine</x:v>
      </x:c>
      <x:c r="E5" s="48" t="str">
        <x:v>Siege Warheads</x:v>
      </x:c>
      <x:c r="F5" s="49" t="n">
        <x:f>'Homing Missile'!F11</x:f>
        <x:v>15</x:v>
      </x:c>
      <x:c r="G5" s="49" t="n">
        <x:f>'Homing Missile'!M11</x:f>
        <x:v>15</x:v>
      </x:c>
      <x:c r="H5" s="48" t="str">
        <x:v>More missiles, faster reacquisition, and broad target coverage. / Fewer compromises: heavier impacts, boss damage, and explosive payloads.</x:v>
      </x:c>
    </x:row>
    <x:row r="6" ht="129.60000610351562" hidden="0" customHeight="1">
      <x:c r="A6" s="50" t="str">
        <x:v>Flak Cannon</x:v>
      </x:c>
      <x:c r="B6" s="50" t="str">
        <x:v>Cluster-clearing artillery</x:v>
      </x:c>
      <x:c r="C6" s="50" t="str">
        <x:v>X / F</x:v>
      </x:c>
      <x:c r="D6" s="50" t="str">
        <x:v>Saturation Barrage</x:v>
      </x:c>
      <x:c r="E6" s="50" t="str">
        <x:v>Area Denial</x:v>
      </x:c>
      <x:c r="F6" s="51" t="n">
        <x:f>'Flak Cannon'!F11</x:f>
        <x:v>15</x:v>
      </x:c>
      <x:c r="G6" s="51" t="n">
        <x:f>'Flak Cannon'!M11</x:f>
        <x:v>15</x:v>
      </x:c>
      <x:c r="H6" s="50" t="str">
        <x:v>More shells and better coverage against large formations. / Bigger blasts, lingering shrapnel, and stronger payload interception.</x:v>
      </x:c>
    </x:row>
    <x:row r="7" ht="162" hidden="0" customHeight="1">
      <x:c r="A7" s="50" t="str">
        <x:v>EMP Pulse</x:v>
      </x:c>
      <x:c r="B7" s="50" t="str">
        <x:v>Non-damaging battlefield control</x:v>
      </x:c>
      <x:c r="C7" s="50" t="str">
        <x:v>Right Stick Click / R</x:v>
      </x:c>
      <x:c r="D7" s="50" t="str">
        <x:v>Lockdown Field</x:v>
      </x:c>
      <x:c r="E7" s="50" t="str">
        <x:v>System Sabotage</x:v>
      </x:c>
      <x:c r="F7" s="51" t="n">
        <x:f>'EMP Pulse'!F11</x:f>
        <x:v>15</x:v>
      </x:c>
      <x:c r="G7" s="51" t="n">
        <x:f>'EMP Pulse'!M11</x:f>
        <x:v>15</x:v>
      </x:c>
      <x:c r="H7" s="50" t="str">
        <x:v>Longer, stronger slowing and broader control of the whole screen. / EMP remains non-damaging but makes enemies easier to destroy.</x:v>
      </x:c>
    </x:row>
    <x:row r="8" ht="162" hidden="0" customHeight="1">
      <x:c r="A8" s="50" t="str">
        <x:v>Railgun</x:v>
      </x:c>
      <x:c r="B8" s="50" t="str">
        <x:v>High-power piercing lane attack</x:v>
      </x:c>
      <x:c r="C8" s="50" t="str">
        <x:v>B / E</x:v>
      </x:c>
      <x:c r="D8" s="50" t="str">
        <x:v>Capacitor Cascade</x:v>
      </x:c>
      <x:c r="E8" s="50" t="str">
        <x:v>Singularity Lance</x:v>
      </x:c>
      <x:c r="F8" s="51" t="n">
        <x:f>'Railgun'!F11</x:f>
        <x:v>15</x:v>
      </x:c>
      <x:c r="G8" s="51" t="n">
        <x:f>'Railgun'!M11</x:f>
        <x:v>15</x:v>
      </x:c>
      <x:c r="H8" s="50" t="str">
        <x:v>Multiple pulses, wider coverage, and repeated lane clearing. / One enormous shot optimized for bosses and armored targets.</x:v>
      </x:c>
    </x:row>
    <x:row r="9" ht="140.39999389648438" hidden="0" customHeight="1">
      <x:c r="A9" s="50" t="str">
        <x:v>Gravity Well</x:v>
      </x:c>
      <x:c r="B9" s="50" t="str">
        <x:v>Formation control and payload capture</x:v>
      </x:c>
      <x:c r="C9" s="50" t="str">
        <x:v>LT / G</x:v>
      </x:c>
      <x:c r="D9" s="50" t="str">
        <x:v>Compression Field</x:v>
      </x:c>
      <x:c r="E9" s="50" t="str">
        <x:v>Orbital Control</x:v>
      </x:c>
      <x:c r="F9" s="51" t="n">
        <x:f>'Gravity Well'!F11</x:f>
        <x:v>15</x:v>
      </x:c>
      <x:c r="G9" s="51" t="n">
        <x:f>'Gravity Well'!M11</x:f>
        <x:v>15</x:v>
      </x:c>
      <x:c r="H9" s="50" t="str">
        <x:v>Crushes targets together and increases damage inside the well. / Larger wells, longer duration, and multiple placement options.</x:v>
      </x:c>
    </x:row>
    <x:row r="10" ht="140.39999389648438" hidden="0" customHeight="1">
      <x:c r="A10" s="50" t="str">
        <x:v>Drone Squadron</x:v>
      </x:c>
      <x:c r="B10" s="50" t="str">
        <x:v>Permanent autonomous support</x:v>
      </x:c>
      <x:c r="C10" s="50" t="str">
        <x:v>Passive</x:v>
      </x:c>
      <x:c r="D10" s="50" t="str">
        <x:v>Interceptor Wing</x:v>
      </x:c>
      <x:c r="E10" s="50" t="str">
        <x:v>Support Network</x:v>
      </x:c>
      <x:c r="F10" s="51" t="n">
        <x:f>'Drone Squadron'!F11</x:f>
        <x:v>15</x:v>
      </x:c>
      <x:c r="G10" s="51" t="n">
        <x:f>'Drone Squadron'!M11</x:f>
        <x:v>15</x:v>
      </x:c>
      <x:c r="H10" s="50" t="str">
        <x:v>Improves combat performance and prioritizes dangerous payloads. / Improves salvage collection, repairs, and defensive utility.</x:v>
      </x:c>
    </x:row>
    <x:row r="11" ht="108" hidden="0" customHeight="1">
      <x:c r="A11" s="50" t="str">
        <x:v>Scatter Core</x:v>
      </x:c>
      <x:c r="B11" s="50" t="str">
        <x:v>Unguided multi-shot main weapon</x:v>
      </x:c>
      <x:c r="C11" s="50" t="str">
        <x:v>Passive</x:v>
      </x:c>
      <x:c r="D11" s="50" t="str">
        <x:v>Fusillade Array</x:v>
      </x:c>
      <x:c r="E11" s="50" t="str">
        <x:v>Fragmentation Core</x:v>
      </x:c>
      <x:c r="F11" s="51" t="n">
        <x:f>'Scatter Core'!F11</x:f>
        <x:v>15</x:v>
      </x:c>
      <x:c r="G11" s="51" t="n">
        <x:f>'Scatter Core'!M11</x:f>
        <x:v>15</x:v>
      </x:c>
      <x:c r="H11" s="50" t="str">
        <x:v>Adds more projectiles and wider coverage. / Keeps a tighter volley but adds impact effects and penetration.</x:v>
      </x:c>
    </x:row>
    <x:row r="12" ht="140.39999389648438" hidden="0" customHeight="1">
      <x:c r="A12" s="52" t="str">
        <x:v>Seeking Matrix</x:v>
      </x:c>
      <x:c r="B12" s="52" t="str">
        <x:v>Homing main-weapon mutation</x:v>
      </x:c>
      <x:c r="C12" s="52" t="str">
        <x:v>Passive</x:v>
      </x:c>
      <x:c r="D12" s="52" t="str">
        <x:v>Guidance Matrix</x:v>
      </x:c>
      <x:c r="E12" s="52" t="str">
        <x:v>Hunter Matrix</x:v>
      </x:c>
      <x:c r="F12" s="53" t="n">
        <x:f>'Seeking Matrix'!F11</x:f>
        <x:v>15</x:v>
      </x:c>
      <x:c r="G12" s="53" t="n">
        <x:f>'Seeking Matrix'!M11</x:f>
        <x:v>15</x:v>
      </x:c>
      <x:c r="H12" s="52" t="str">
        <x:v>Improves tracking, reacquisition, and multi-target performance. / Trades some broad tracking for penetration and priority-target damage.</x:v>
      </x:c>
    </x:row>
    <x:row r="13" ht="15" hidden="0" customHeight="1">
      <x:c r="A13" s="43"/>
      <x:c r="B13" s="43"/>
      <x:c r="C13" s="43"/>
      <x:c r="D13" s="43"/>
      <x:c r="E13" s="43"/>
      <x:c r="F13" s="43"/>
      <x:c r="G13" s="43"/>
      <x:c r="H13" s="43"/>
    </x:row>
    <x:row r="14" ht="39.599998474121094" hidden="0" customHeight="1">
      <x:c r="A14" s="54" t="str">
        <x:v>Suggested implementation: recover the relic at Level 1, then spend carapaces between waves. A branch-selection rule can be added later without changing the workbook structure.</x:v>
      </x:c>
      <x:c r="B14" s="54"/>
      <x:c r="C14" s="54"/>
      <x:c r="D14" s="54"/>
      <x:c r="E14" s="54"/>
      <x:c r="F14" s="54"/>
      <x:c r="G14" s="54"/>
      <x:c r="H14" s="54"/>
    </x:row>
    <x:row r="15" ht="15" hidden="0" customHeight="1">
      <x:c r="A15" s="43"/>
      <x:c r="B15" s="43"/>
      <x:c r="C15" s="43"/>
      <x:c r="D15" s="43"/>
      <x:c r="E15" s="43"/>
      <x:c r="F15" s="43"/>
      <x:c r="G15" s="43"/>
      <x:c r="H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</x:row>
  </x:sheetData>
  <x:mergeCells>
    <x:mergeCell ref="A1:H1"/>
    <x:mergeCell ref="A2:M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3" hidden="0" customWidth="1"/>
    <x:col min="1" max="1" width="7" hidden="0" customWidth="1"/>
    <x:col min="2" max="2" width="22" hidden="0" customWidth="1"/>
    <x:col min="3" max="3" width="38" hidden="0" customWidth="1"/>
    <x:col min="4" max="4" width="25" hidden="0" customWidth="1"/>
    <x:col min="5" max="5" width="9" hidden="0" customWidth="1"/>
    <x:col min="6" max="6" width="12" hidden="0" customWidth="1"/>
    <x:col min="8" max="8" width="7" hidden="0" customWidth="1"/>
    <x:col min="9" max="9" width="22" hidden="0" customWidth="1"/>
    <x:col min="10" max="10" width="38" hidden="0" customWidth="1"/>
    <x:col min="11" max="11" width="25" hidden="0" customWidth="1"/>
    <x:col min="12" max="12" width="9" hidden="0" customWidth="1"/>
    <x:col min="13" max="13" width="12" hidden="0" customWidth="1"/>
  </x:cols>
  <x:sheetData>
    <x:row r="1" ht="34" customHeight="1">
      <x:c r="A1" s="42" t="str">
        <x:v>Homing Missile Upgrade Tree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8" customHeight="1">
      <x:c r="A2" s="44" t="str">
        <x:v>Heavy guided salvo | Control: Y / H</x:v>
      </x:c>
      <x:c r="B2" s="44" t="str">
        <x:v>Heavy guided salvo | Control: Y / H</x:v>
      </x:c>
      <x:c r="C2" s="44" t="str">
        <x:v>Heavy guided salvo | Control: Y / H</x:v>
      </x:c>
      <x:c r="D2" s="44" t="str">
        <x:v>Heavy guided salvo | Control: Y / H</x:v>
      </x:c>
      <x:c r="E2" s="44" t="str">
        <x:v>Heavy guided salvo | Control: Y / H</x:v>
      </x:c>
      <x:c r="F2" s="44" t="str">
        <x:v>Heavy guided salvo | Control: Y / H</x:v>
      </x:c>
      <x:c r="G2" s="44" t="str">
        <x:v>Heavy guided salvo | Control: Y / H</x:v>
      </x:c>
      <x:c r="H2" s="44" t="str">
        <x:v>Heavy guided salvo | Control: Y / H</x:v>
      </x:c>
      <x:c r="I2" s="44" t="str">
        <x:v>Heavy guided salvo | Control: Y / H</x:v>
      </x:c>
      <x:c r="J2" s="44" t="str">
        <x:v>Heavy guided salvo | Control: Y / H</x:v>
      </x:c>
      <x:c r="K2" s="44" t="str">
        <x:v>Heavy guided salvo | Control: Y / H</x:v>
      </x:c>
      <x:c r="L2" s="44" t="str">
        <x:v>Heavy guided salvo | Control: Y / H</x:v>
      </x:c>
      <x:c r="M2" s="44" t="str">
        <x:v>Heavy guided salvo | Control: Y / H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 ht="26" customHeight="1">
      <x:c r="A4" s="102" t="str">
        <x:v>Swarm Doctrine</x:v>
      </x:c>
      <x:c r="B4" s="102"/>
      <x:c r="C4" s="102"/>
      <x:c r="D4" s="102"/>
      <x:c r="E4" s="102"/>
      <x:c r="F4" s="102"/>
      <x:c r="G4" s="103"/>
      <x:c r="H4" s="104" t="str">
        <x:v>Siege Warheads</x:v>
      </x:c>
      <x:c r="I4" s="104"/>
      <x:c r="J4" s="104"/>
      <x:c r="K4" s="104"/>
      <x:c r="L4" s="104"/>
      <x:c r="M4" s="104"/>
    </x:row>
    <x:row r="5" ht="34" customHeight="1">
      <x:c r="A5" s="105" t="str">
        <x:v>More missiles, faster reacquisition, and broad target coverage.</x:v>
      </x:c>
      <x:c r="B5" s="105"/>
      <x:c r="C5" s="105"/>
      <x:c r="D5" s="105"/>
      <x:c r="E5" s="105"/>
      <x:c r="F5" s="105"/>
      <x:c r="G5" s="103"/>
      <x:c r="H5" s="105" t="str">
        <x:v>Fewer compromises: heavier impacts, boss damage, and explosive payloads.</x:v>
      </x:c>
      <x:c r="I5" s="105"/>
      <x:c r="J5" s="105"/>
      <x:c r="K5" s="105"/>
      <x:c r="L5" s="105"/>
      <x:c r="M5" s="105"/>
    </x:row>
    <x:row r="6">
      <x:c r="A6" s="45" t="str">
        <x:v>Tier</x:v>
      </x:c>
      <x:c r="B6" s="46" t="str">
        <x:v>Upgrade</x:v>
      </x:c>
      <x:c r="C6" s="46" t="str">
        <x:v>Description</x:v>
      </x:c>
      <x:c r="D6" s="46" t="str">
        <x:v>Numerical Change</x:v>
      </x:c>
      <x:c r="E6" s="46" t="str">
        <x:v>Cost</x:v>
      </x:c>
      <x:c r="F6" s="47" t="str">
        <x:v>Cumulative</x:v>
      </x:c>
      <x:c r="G6" s="103"/>
      <x:c r="H6" s="45" t="str">
        <x:v>Tier</x:v>
      </x:c>
      <x:c r="I6" s="46" t="str">
        <x:v>Upgrade</x:v>
      </x:c>
      <x:c r="J6" s="46" t="str">
        <x:v>Description</x:v>
      </x:c>
      <x:c r="K6" s="46" t="str">
        <x:v>Numerical Change</x:v>
      </x:c>
      <x:c r="L6" s="46" t="str">
        <x:v>Cost</x:v>
      </x:c>
      <x:c r="M6" s="47" t="str">
        <x:v>Cumulative</x:v>
      </x:c>
    </x:row>
    <x:row r="7" ht="52" customHeight="1">
      <x:c r="A7" s="106" t="n">
        <x:v>1</x:v>
      </x:c>
      <x:c r="B7" s="48" t="str">
        <x:v>Expanded Racks</x:v>
      </x:c>
      <x:c r="C7" s="48" t="str">
        <x:v>Adds two missiles to each salvo.</x:v>
      </x:c>
      <x:c r="D7" s="48" t="str">
        <x:v>+2 missiles</x:v>
      </x:c>
      <x:c r="E7" s="107" t="n">
        <x:v>1</x:v>
      </x:c>
      <x:c r="F7" s="107" t="n">
        <x:f>E7</x:f>
        <x:v>1</x:v>
      </x:c>
      <x:c r="G7" s="103"/>
      <x:c r="H7" s="106" t="n">
        <x:v>1</x:v>
      </x:c>
      <x:c r="I7" s="48" t="str">
        <x:v>Dense Warheads</x:v>
      </x:c>
      <x:c r="J7" s="48" t="str">
        <x:v>Increases missile impact damage.</x:v>
      </x:c>
      <x:c r="K7" s="48" t="str">
        <x:v>+25% missile damage</x:v>
      </x:c>
      <x:c r="L7" s="107" t="n">
        <x:v>1</x:v>
      </x:c>
      <x:c r="M7" s="107" t="n">
        <x:f>L7</x:f>
        <x:v>1</x:v>
      </x:c>
    </x:row>
    <x:row r="8" ht="52" customHeight="1">
      <x:c r="A8" s="108" t="n">
        <x:v>2</x:v>
      </x:c>
      <x:c r="B8" s="50" t="str">
        <x:v>Distributed Locks</x:v>
      </x:c>
      <x:c r="C8" s="50" t="str">
        <x:v>Missiles divide themselves across more separate targets.</x:v>
      </x:c>
      <x:c r="D8" s="50" t="str">
        <x:v>Improved target distribution</x:v>
      </x:c>
      <x:c r="E8" s="109" t="n">
        <x:v>2</x:v>
      </x:c>
      <x:c r="F8" s="109" t="n">
        <x:f>F7+E8</x:f>
        <x:v>3</x:v>
      </x:c>
      <x:c r="G8" s="103"/>
      <x:c r="H8" s="108" t="n">
        <x:v>2</x:v>
      </x:c>
      <x:c r="I8" s="50" t="str">
        <x:v>Breach Guidance</x:v>
      </x:c>
      <x:c r="J8" s="50" t="str">
        <x:v>Missiles deal increased damage to elites and bosses.</x:v>
      </x:c>
      <x:c r="K8" s="50" t="str">
        <x:v>+35% elite/boss damage</x:v>
      </x:c>
      <x:c r="L8" s="109" t="n">
        <x:v>2</x:v>
      </x:c>
      <x:c r="M8" s="109" t="n">
        <x:f>M7+L8</x:f>
        <x:v>3</x:v>
      </x:c>
    </x:row>
    <x:row r="9" ht="52" customHeight="1">
      <x:c r="A9" s="108" t="n">
        <x:v>3</x:v>
      </x:c>
      <x:c r="B9" s="50" t="str">
        <x:v>Rapid Reacquisition</x:v>
      </x:c>
      <x:c r="C9" s="50" t="str">
        <x:v>A missile that loses its target immediately seeks another.</x:v>
      </x:c>
      <x:c r="D9" s="50" t="str">
        <x:v>Faster retargeting</x:v>
      </x:c>
      <x:c r="E9" s="109" t="n">
        <x:v>3</x:v>
      </x:c>
      <x:c r="F9" s="109" t="n">
        <x:f>F8+E9</x:f>
        <x:v>6</x:v>
      </x:c>
      <x:c r="G9" s="103"/>
      <x:c r="H9" s="108" t="n">
        <x:v>3</x:v>
      </x:c>
      <x:c r="I9" s="50" t="str">
        <x:v>Cluster Charge</x:v>
      </x:c>
      <x:c r="J9" s="50" t="str">
        <x:v>Missile impacts damage nearby ships and payloads.</x:v>
      </x:c>
      <x:c r="K9" s="50" t="str">
        <x:v>70 px blast, 35% splash</x:v>
      </x:c>
      <x:c r="L9" s="109" t="n">
        <x:v>3</x:v>
      </x:c>
      <x:c r="M9" s="109" t="n">
        <x:f>M8+L9</x:f>
        <x:v>6</x:v>
      </x:c>
    </x:row>
    <x:row r="10" ht="52" customHeight="1">
      <x:c r="A10" s="108" t="n">
        <x:v>4</x:v>
      </x:c>
      <x:c r="B10" s="50" t="str">
        <x:v>Cascade Launch</x:v>
      </x:c>
      <x:c r="C10" s="50" t="str">
        <x:v>Destroyed targets release a small secondary seeker.</x:v>
      </x:c>
      <x:c r="D10" s="50" t="str">
        <x:v>1 micro-missile per kill</x:v>
      </x:c>
      <x:c r="E10" s="109" t="n">
        <x:v>4</x:v>
      </x:c>
      <x:c r="F10" s="109" t="n">
        <x:f>F9+E10</x:f>
        <x:v>10</x:v>
      </x:c>
      <x:c r="G10" s="103"/>
      <x:c r="H10" s="108" t="n">
        <x:v>4</x:v>
      </x:c>
      <x:c r="I10" s="50" t="str">
        <x:v>Tandem Detonation</x:v>
      </x:c>
      <x:c r="J10" s="50" t="str">
        <x:v>Each missile detonates a second time after impact.</x:v>
      </x:c>
      <x:c r="K10" s="50" t="str">
        <x:v>Second blast at 50%</x:v>
      </x:c>
      <x:c r="L10" s="109" t="n">
        <x:v>4</x:v>
      </x:c>
      <x:c r="M10" s="109" t="n">
        <x:f>M9+L10</x:f>
        <x:v>10</x:v>
      </x:c>
    </x:row>
    <x:row r="11" ht="52" customHeight="1">
      <x:c r="A11" s="108" t="n">
        <x:v>5</x:v>
      </x:c>
      <x:c r="B11" s="50" t="str">
        <x:v>Hunter Swarm</x:v>
      </x:c>
      <x:c r="C11" s="50" t="str">
        <x:v>Launches an additional wave shortly after the first.</x:v>
      </x:c>
      <x:c r="D11" s="50" t="str">
        <x:v>Second wave at 45% power</x:v>
      </x:c>
      <x:c r="E11" s="109" t="n">
        <x:v>5</x:v>
      </x:c>
      <x:c r="F11" s="109" t="n">
        <x:f>F10+E11</x:f>
        <x:v>15</x:v>
      </x:c>
      <x:c r="G11" s="103"/>
      <x:c r="H11" s="108" t="n">
        <x:v>5</x:v>
      </x:c>
      <x:c r="I11" s="50" t="str">
        <x:v>Siege Breaker</x:v>
      </x:c>
      <x:c r="J11" s="50" t="str">
        <x:v>The central missile becomes a massive boss-killing warhead.</x:v>
      </x:c>
      <x:c r="K11" s="50" t="str">
        <x:v>3x central missile damage</x:v>
      </x:c>
      <x:c r="L11" s="109" t="n">
        <x:v>5</x:v>
      </x:c>
      <x:c r="M11" s="109" t="n">
        <x:f>M10+L11</x:f>
        <x:v>15</x:v>
      </x:c>
    </x:row>
    <x:row r="12">
      <x:c r="A12" s="43"/>
      <x:c r="B12" s="43"/>
      <x:c r="C12" s="43"/>
      <x:c r="D12" s="43"/>
      <x:c r="E12" s="43"/>
      <x:c r="F12" s="43"/>
      <x:c r="G12" s="103"/>
      <x:c r="H12" s="43"/>
      <x:c r="I12" s="43"/>
      <x:c r="J12" s="43"/>
      <x:c r="K12" s="43"/>
      <x:c r="L12" s="43"/>
      <x:c r="M12" s="43"/>
    </x:row>
    <x:row r="13" ht="30" customHeight="1">
      <x:c r="A13" s="110" t="str">
        <x:v>Branch rule: tiers are sequential; choose whether branches are exclusive or mixable during implementation.</x:v>
      </x:c>
      <x:c r="B13" s="110"/>
      <x:c r="C13" s="110"/>
      <x:c r="D13" s="110"/>
      <x:c r="E13" s="110"/>
      <x:c r="F13" s="110"/>
      <x:c r="G13" s="103"/>
      <x:c r="H13" s="110" t="str">
        <x:v>Branch rule: tiers are sequential; choose whether branches are exclusive or mixable during implementation.</x:v>
      </x:c>
      <x:c r="I13" s="110"/>
      <x:c r="J13" s="110"/>
      <x:c r="K13" s="110"/>
      <x:c r="L13" s="110"/>
      <x:c r="M13" s="110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111" t="str">
        <x:v>Designer Notes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</x:row>
    <x:row r="16" ht="24" customHeight="1">
      <x:c r="A16" s="112" t="str">
        <x:v>Editable notes: tune numerical values, branch exclusivity, and prerequisite rules after playtesting.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</x:row>
    <x:row r="17" ht="24" customHeight="1">
      <x:c r="A17" s="115"/>
      <x:c r="B17" s="116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6"/>
      <x:c r="M17" s="117"/>
    </x:row>
    <x:row r="18" ht="24" customHeight="1">
      <x:c r="A18" s="115"/>
      <x:c r="B18" s="116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6"/>
      <x:c r="M18" s="117"/>
    </x:row>
    <x:row r="19" ht="24" customHeight="1">
      <x:c r="A19" s="118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20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</x:sheetData>
  <x:mergeCells>
    <x:mergeCell ref="A1:M1"/>
    <x:mergeCell ref="A2:M2"/>
    <x:mergeCell ref="A4:F4"/>
    <x:mergeCell ref="A5:F5"/>
    <x:mergeCell ref="A13:F13"/>
    <x:mergeCell ref="H4:M4"/>
    <x:mergeCell ref="H5:M5"/>
    <x:mergeCell ref="H13:M13"/>
    <x:mergeCell ref="A15:M15"/>
    <x:mergeCell ref="A16:M19"/>
  </x:mergeCells>
  <x:pageMargins left="0.7" right="0.7" top="0.75" bottom="0.75" header="0.3" footer="0.3"/>
  <x:legacyDrawing xmlns:r="http://schemas.openxmlformats.org/officeDocument/2006/relationships" r:id="Ra087a7abcd5848b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3" hidden="0" customWidth="1"/>
    <x:col min="1" max="1" width="7" hidden="0" customWidth="1"/>
    <x:col min="2" max="2" width="22" hidden="0" customWidth="1"/>
    <x:col min="3" max="3" width="38" hidden="0" customWidth="1"/>
    <x:col min="4" max="4" width="25" hidden="0" customWidth="1"/>
    <x:col min="5" max="5" width="9" hidden="0" customWidth="1"/>
    <x:col min="6" max="6" width="12" hidden="0" customWidth="1"/>
    <x:col min="8" max="8" width="7" hidden="0" customWidth="1"/>
    <x:col min="9" max="9" width="22" hidden="0" customWidth="1"/>
    <x:col min="10" max="10" width="38" hidden="0" customWidth="1"/>
    <x:col min="11" max="11" width="25" hidden="0" customWidth="1"/>
    <x:col min="12" max="12" width="9" hidden="0" customWidth="1"/>
    <x:col min="13" max="13" width="12" hidden="0" customWidth="1"/>
  </x:cols>
  <x:sheetData>
    <x:row r="1" ht="34" customHeight="1">
      <x:c r="A1" s="42" t="str">
        <x:v>Flak Cannon Upgrade Tree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8" customHeight="1">
      <x:c r="A2" s="44" t="str">
        <x:v>Cluster-clearing artillery | Control: X / F</x:v>
      </x:c>
      <x:c r="B2" s="44" t="str">
        <x:v>Cluster-clearing artillery | Control: X / F</x:v>
      </x:c>
      <x:c r="C2" s="44" t="str">
        <x:v>Cluster-clearing artillery | Control: X / F</x:v>
      </x:c>
      <x:c r="D2" s="44" t="str">
        <x:v>Cluster-clearing artillery | Control: X / F</x:v>
      </x:c>
      <x:c r="E2" s="44" t="str">
        <x:v>Cluster-clearing artillery | Control: X / F</x:v>
      </x:c>
      <x:c r="F2" s="44" t="str">
        <x:v>Cluster-clearing artillery | Control: X / F</x:v>
      </x:c>
      <x:c r="G2" s="44" t="str">
        <x:v>Cluster-clearing artillery | Control: X / F</x:v>
      </x:c>
      <x:c r="H2" s="44" t="str">
        <x:v>Cluster-clearing artillery | Control: X / F</x:v>
      </x:c>
      <x:c r="I2" s="44" t="str">
        <x:v>Cluster-clearing artillery | Control: X / F</x:v>
      </x:c>
      <x:c r="J2" s="44" t="str">
        <x:v>Cluster-clearing artillery | Control: X / F</x:v>
      </x:c>
      <x:c r="K2" s="44" t="str">
        <x:v>Cluster-clearing artillery | Control: X / F</x:v>
      </x:c>
      <x:c r="L2" s="44" t="str">
        <x:v>Cluster-clearing artillery | Control: X / F</x:v>
      </x:c>
      <x:c r="M2" s="44" t="str">
        <x:v>Cluster-clearing artillery | Control: X / F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 ht="26" customHeight="1">
      <x:c r="A4" s="102" t="str">
        <x:v>Saturation Barrage</x:v>
      </x:c>
      <x:c r="B4" s="102"/>
      <x:c r="C4" s="102"/>
      <x:c r="D4" s="102"/>
      <x:c r="E4" s="102"/>
      <x:c r="F4" s="102"/>
      <x:c r="G4" s="103"/>
      <x:c r="H4" s="104" t="str">
        <x:v>Area Denial</x:v>
      </x:c>
      <x:c r="I4" s="104"/>
      <x:c r="J4" s="104"/>
      <x:c r="K4" s="104"/>
      <x:c r="L4" s="104"/>
      <x:c r="M4" s="104"/>
    </x:row>
    <x:row r="5" ht="34" customHeight="1">
      <x:c r="A5" s="105" t="str">
        <x:v>More shells and better coverage against large formations.</x:v>
      </x:c>
      <x:c r="B5" s="105"/>
      <x:c r="C5" s="105"/>
      <x:c r="D5" s="105"/>
      <x:c r="E5" s="105"/>
      <x:c r="F5" s="105"/>
      <x:c r="G5" s="103"/>
      <x:c r="H5" s="105" t="str">
        <x:v>Bigger blasts, lingering shrapnel, and stronger payload interception.</x:v>
      </x:c>
      <x:c r="I5" s="105"/>
      <x:c r="J5" s="105"/>
      <x:c r="K5" s="105"/>
      <x:c r="L5" s="105"/>
      <x:c r="M5" s="105"/>
    </x:row>
    <x:row r="6">
      <x:c r="A6" s="45" t="str">
        <x:v>Tier</x:v>
      </x:c>
      <x:c r="B6" s="46" t="str">
        <x:v>Upgrade</x:v>
      </x:c>
      <x:c r="C6" s="46" t="str">
        <x:v>Description</x:v>
      </x:c>
      <x:c r="D6" s="46" t="str">
        <x:v>Numerical Change</x:v>
      </x:c>
      <x:c r="E6" s="46" t="str">
        <x:v>Cost</x:v>
      </x:c>
      <x:c r="F6" s="47" t="str">
        <x:v>Cumulative</x:v>
      </x:c>
      <x:c r="G6" s="103"/>
      <x:c r="H6" s="45" t="str">
        <x:v>Tier</x:v>
      </x:c>
      <x:c r="I6" s="46" t="str">
        <x:v>Upgrade</x:v>
      </x:c>
      <x:c r="J6" s="46" t="str">
        <x:v>Description</x:v>
      </x:c>
      <x:c r="K6" s="46" t="str">
        <x:v>Numerical Change</x:v>
      </x:c>
      <x:c r="L6" s="46" t="str">
        <x:v>Cost</x:v>
      </x:c>
      <x:c r="M6" s="47" t="str">
        <x:v>Cumulative</x:v>
      </x:c>
    </x:row>
    <x:row r="7" ht="52" customHeight="1">
      <x:c r="A7" s="106" t="n">
        <x:v>1</x:v>
      </x:c>
      <x:c r="B7" s="48" t="str">
        <x:v>Expanded Battery</x:v>
      </x:c>
      <x:c r="C7" s="48" t="str">
        <x:v>Adds one shell to every flak salvo.</x:v>
      </x:c>
      <x:c r="D7" s="48" t="str">
        <x:v>+1 shell</x:v>
      </x:c>
      <x:c r="E7" s="107" t="n">
        <x:v>1</x:v>
      </x:c>
      <x:c r="F7" s="107" t="n">
        <x:f>E7</x:f>
        <x:v>1</x:v>
      </x:c>
      <x:c r="G7" s="103"/>
      <x:c r="H7" s="106" t="n">
        <x:v>1</x:v>
      </x:c>
      <x:c r="I7" s="48" t="str">
        <x:v>Shrapnel Payload</x:v>
      </x:c>
      <x:c r="J7" s="48" t="str">
        <x:v>Increases blast damage and radius.</x:v>
      </x:c>
      <x:c r="K7" s="48" t="str">
        <x:v>+20% damage, +15% radius</x:v>
      </x:c>
      <x:c r="L7" s="107" t="n">
        <x:v>1</x:v>
      </x:c>
      <x:c r="M7" s="107" t="n">
        <x:f>L7</x:f>
        <x:v>1</x:v>
      </x:c>
    </x:row>
    <x:row r="8" ht="52" customHeight="1">
      <x:c r="A8" s="108" t="n">
        <x:v>2</x:v>
      </x:c>
      <x:c r="B8" s="50" t="str">
        <x:v>Wide Pattern</x:v>
      </x:c>
      <x:c r="C8" s="50" t="str">
        <x:v>Shells distribute themselves across more targets.</x:v>
      </x:c>
      <x:c r="D8" s="50" t="str">
        <x:v>Wider target spread</x:v>
      </x:c>
      <x:c r="E8" s="109" t="n">
        <x:v>2</x:v>
      </x:c>
      <x:c r="F8" s="109" t="n">
        <x:f>F7+E8</x:f>
        <x:v>3</x:v>
      </x:c>
      <x:c r="G8" s="103"/>
      <x:c r="H8" s="108" t="n">
        <x:v>2</x:v>
      </x:c>
      <x:c r="I8" s="50" t="str">
        <x:v>Payload Interceptor</x:v>
      </x:c>
      <x:c r="J8" s="50" t="str">
        <x:v>Flak deals increased damage to alien bombs and plasma.</x:v>
      </x:c>
      <x:c r="K8" s="50" t="str">
        <x:v>+60% payload damage</x:v>
      </x:c>
      <x:c r="L8" s="109" t="n">
        <x:v>2</x:v>
      </x:c>
      <x:c r="M8" s="109" t="n">
        <x:f>M7+L8</x:f>
        <x:v>3</x:v>
      </x:c>
    </x:row>
    <x:row r="9" ht="52" customHeight="1">
      <x:c r="A9" s="108" t="n">
        <x:v>3</x:v>
      </x:c>
      <x:c r="B9" s="50" t="str">
        <x:v>Proximity Fuses</x:v>
      </x:c>
      <x:c r="C9" s="50" t="str">
        <x:v>Shells detonate early when passing close to an alien.</x:v>
      </x:c>
      <x:c r="D9" s="50" t="str">
        <x:v>+28 px trigger radius</x:v>
      </x:c>
      <x:c r="E9" s="109" t="n">
        <x:v>3</x:v>
      </x:c>
      <x:c r="F9" s="109" t="n">
        <x:f>F8+E9</x:f>
        <x:v>6</x:v>
      </x:c>
      <x:c r="G9" s="103"/>
      <x:c r="H9" s="108" t="n">
        <x:v>3</x:v>
      </x:c>
      <x:c r="I9" s="50" t="str">
        <x:v>Burning Fragments</x:v>
      </x:c>
      <x:c r="J9" s="50" t="str">
        <x:v>Blast zones linger and damage ships passing through.</x:v>
      </x:c>
      <x:c r="K9" s="50" t="str">
        <x:v>2.5 sec hazard field</x:v>
      </x:c>
      <x:c r="L9" s="109" t="n">
        <x:v>3</x:v>
      </x:c>
      <x:c r="M9" s="109" t="n">
        <x:f>M8+L9</x:f>
        <x:v>6</x:v>
      </x:c>
    </x:row>
    <x:row r="10" ht="52" customHeight="1">
      <x:c r="A10" s="108" t="n">
        <x:v>4</x:v>
      </x:c>
      <x:c r="B10" s="50" t="str">
        <x:v>Chain Barrage</x:v>
      </x:c>
      <x:c r="C10" s="50" t="str">
        <x:v>The salvo launches a delayed second group of shells.</x:v>
      </x:c>
      <x:c r="D10" s="50" t="str">
        <x:v>Second group at 45% power</x:v>
      </x:c>
      <x:c r="E10" s="109" t="n">
        <x:v>4</x:v>
      </x:c>
      <x:c r="F10" s="109" t="n">
        <x:f>F9+E10</x:f>
        <x:v>10</x:v>
      </x:c>
      <x:c r="G10" s="103"/>
      <x:c r="H10" s="108" t="n">
        <x:v>4</x:v>
      </x:c>
      <x:c r="I10" s="50" t="str">
        <x:v>Cluster Shrapnel</x:v>
      </x:c>
      <x:c r="J10" s="50" t="str">
        <x:v>Destroyed payloads throw fragments into nearby aliens.</x:v>
      </x:c>
      <x:c r="K10" s="50" t="str">
        <x:v>4 fragments per payload</x:v>
      </x:c>
      <x:c r="L10" s="109" t="n">
        <x:v>4</x:v>
      </x:c>
      <x:c r="M10" s="109" t="n">
        <x:f>M9+L10</x:f>
        <x:v>10</x:v>
      </x:c>
    </x:row>
    <x:row r="11" ht="52" customHeight="1">
      <x:c r="A11" s="108" t="n">
        <x:v>5</x:v>
      </x:c>
      <x:c r="B11" s="50" t="str">
        <x:v>Sky Saturation</x:v>
      </x:c>
      <x:c r="C11" s="50" t="str">
        <x:v>Every visible cluster receives at least one shell.</x:v>
      </x:c>
      <x:c r="D11" s="50" t="str">
        <x:v>Maximum target coverage</x:v>
      </x:c>
      <x:c r="E11" s="109" t="n">
        <x:v>5</x:v>
      </x:c>
      <x:c r="F11" s="109" t="n">
        <x:f>F10+E11</x:f>
        <x:v>15</x:v>
      </x:c>
      <x:c r="G11" s="103"/>
      <x:c r="H11" s="108" t="n">
        <x:v>5</x:v>
      </x:c>
      <x:c r="I11" s="50" t="str">
        <x:v>No-Fly Zone</x:v>
      </x:c>
      <x:c r="J11" s="50" t="str">
        <x:v>Flak fields overlap into a large persistent defensive canopy.</x:v>
      </x:c>
      <x:c r="K11" s="50" t="str">
        <x:v>5 sec combined field</x:v>
      </x:c>
      <x:c r="L11" s="109" t="n">
        <x:v>5</x:v>
      </x:c>
      <x:c r="M11" s="109" t="n">
        <x:f>M10+L11</x:f>
        <x:v>15</x:v>
      </x:c>
    </x:row>
    <x:row r="12">
      <x:c r="A12" s="43"/>
      <x:c r="B12" s="43"/>
      <x:c r="C12" s="43"/>
      <x:c r="D12" s="43"/>
      <x:c r="E12" s="43"/>
      <x:c r="F12" s="43"/>
      <x:c r="G12" s="103"/>
      <x:c r="H12" s="43"/>
      <x:c r="I12" s="43"/>
      <x:c r="J12" s="43"/>
      <x:c r="K12" s="43"/>
      <x:c r="L12" s="43"/>
      <x:c r="M12" s="43"/>
    </x:row>
    <x:row r="13" ht="30" customHeight="1">
      <x:c r="A13" s="110" t="str">
        <x:v>Branch rule: tiers are sequential; choose whether branches are exclusive or mixable during implementation.</x:v>
      </x:c>
      <x:c r="B13" s="110"/>
      <x:c r="C13" s="110"/>
      <x:c r="D13" s="110"/>
      <x:c r="E13" s="110"/>
      <x:c r="F13" s="110"/>
      <x:c r="G13" s="103"/>
      <x:c r="H13" s="110" t="str">
        <x:v>Branch rule: tiers are sequential; choose whether branches are exclusive or mixable during implementation.</x:v>
      </x:c>
      <x:c r="I13" s="110"/>
      <x:c r="J13" s="110"/>
      <x:c r="K13" s="110"/>
      <x:c r="L13" s="110"/>
      <x:c r="M13" s="110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111" t="str">
        <x:v>Designer Notes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</x:row>
    <x:row r="16" ht="24" customHeight="1">
      <x:c r="A16" s="112" t="str">
        <x:v>Editable notes: tune numerical values, branch exclusivity, and prerequisite rules after playtesting.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</x:row>
    <x:row r="17" ht="24" customHeight="1">
      <x:c r="A17" s="115"/>
      <x:c r="B17" s="116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6"/>
      <x:c r="M17" s="117"/>
    </x:row>
    <x:row r="18" ht="24" customHeight="1">
      <x:c r="A18" s="115"/>
      <x:c r="B18" s="116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6"/>
      <x:c r="M18" s="117"/>
    </x:row>
    <x:row r="19" ht="24" customHeight="1">
      <x:c r="A19" s="118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20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</x:sheetData>
  <x:mergeCells>
    <x:mergeCell ref="A1:M1"/>
    <x:mergeCell ref="A2:M2"/>
    <x:mergeCell ref="A4:F4"/>
    <x:mergeCell ref="A5:F5"/>
    <x:mergeCell ref="A13:F13"/>
    <x:mergeCell ref="H4:M4"/>
    <x:mergeCell ref="H5:M5"/>
    <x:mergeCell ref="H13:M13"/>
    <x:mergeCell ref="A15:M15"/>
    <x:mergeCell ref="A16:M19"/>
  </x:mergeCells>
  <x:pageMargins left="0.7" right="0.7" top="0.75" bottom="0.75" header="0.3" footer="0.3"/>
  <x:legacyDrawing xmlns:r="http://schemas.openxmlformats.org/officeDocument/2006/relationships" r:id="Rd2352b5b02cd466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3" hidden="0" customWidth="1"/>
    <x:col min="1" max="1" width="7" hidden="0" customWidth="1"/>
    <x:col min="2" max="2" width="22" hidden="0" customWidth="1"/>
    <x:col min="3" max="3" width="38" hidden="0" customWidth="1"/>
    <x:col min="4" max="4" width="25" hidden="0" customWidth="1"/>
    <x:col min="5" max="5" width="9" hidden="0" customWidth="1"/>
    <x:col min="6" max="6" width="12" hidden="0" customWidth="1"/>
    <x:col min="8" max="8" width="7" hidden="0" customWidth="1"/>
    <x:col min="9" max="9" width="22" hidden="0" customWidth="1"/>
    <x:col min="10" max="10" width="38" hidden="0" customWidth="1"/>
    <x:col min="11" max="11" width="25" hidden="0" customWidth="1"/>
    <x:col min="12" max="12" width="9" hidden="0" customWidth="1"/>
    <x:col min="13" max="13" width="12" hidden="0" customWidth="1"/>
  </x:cols>
  <x:sheetData>
    <x:row r="1" ht="34" customHeight="1">
      <x:c r="A1" s="42" t="str">
        <x:v>EMP Pulse Upgrade Tree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8" customHeight="1">
      <x:c r="A2" s="44" t="str">
        <x:v>Non-damaging battlefield control | Control: Right Stick Click / R</x:v>
      </x:c>
      <x:c r="B2" s="44" t="str">
        <x:v>Non-damaging battlefield control | Control: Right Stick Click / R</x:v>
      </x:c>
      <x:c r="C2" s="44" t="str">
        <x:v>Non-damaging battlefield control | Control: Right Stick Click / R</x:v>
      </x:c>
      <x:c r="D2" s="44" t="str">
        <x:v>Non-damaging battlefield control | Control: Right Stick Click / R</x:v>
      </x:c>
      <x:c r="E2" s="44" t="str">
        <x:v>Non-damaging battlefield control | Control: Right Stick Click / R</x:v>
      </x:c>
      <x:c r="F2" s="44" t="str">
        <x:v>Non-damaging battlefield control | Control: Right Stick Click / R</x:v>
      </x:c>
      <x:c r="G2" s="44" t="str">
        <x:v>Non-damaging battlefield control | Control: Right Stick Click / R</x:v>
      </x:c>
      <x:c r="H2" s="44" t="str">
        <x:v>Non-damaging battlefield control | Control: Right Stick Click / R</x:v>
      </x:c>
      <x:c r="I2" s="44" t="str">
        <x:v>Non-damaging battlefield control | Control: Right Stick Click / R</x:v>
      </x:c>
      <x:c r="J2" s="44" t="str">
        <x:v>Non-damaging battlefield control | Control: Right Stick Click / R</x:v>
      </x:c>
      <x:c r="K2" s="44" t="str">
        <x:v>Non-damaging battlefield control | Control: Right Stick Click / R</x:v>
      </x:c>
      <x:c r="L2" s="44" t="str">
        <x:v>Non-damaging battlefield control | Control: Right Stick Click / R</x:v>
      </x:c>
      <x:c r="M2" s="44" t="str">
        <x:v>Non-damaging battlefield control | Control: Right Stick Click / R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 ht="26" customHeight="1">
      <x:c r="A4" s="102" t="str">
        <x:v>Lockdown Field</x:v>
      </x:c>
      <x:c r="B4" s="102"/>
      <x:c r="C4" s="102"/>
      <x:c r="D4" s="102"/>
      <x:c r="E4" s="102"/>
      <x:c r="F4" s="102"/>
      <x:c r="G4" s="103"/>
      <x:c r="H4" s="104" t="str">
        <x:v>System Sabotage</x:v>
      </x:c>
      <x:c r="I4" s="104"/>
      <x:c r="J4" s="104"/>
      <x:c r="K4" s="104"/>
      <x:c r="L4" s="104"/>
      <x:c r="M4" s="104"/>
    </x:row>
    <x:row r="5" ht="34" customHeight="1">
      <x:c r="A5" s="105" t="str">
        <x:v>Longer, stronger slowing and broader control of the whole screen.</x:v>
      </x:c>
      <x:c r="B5" s="105"/>
      <x:c r="C5" s="105"/>
      <x:c r="D5" s="105"/>
      <x:c r="E5" s="105"/>
      <x:c r="F5" s="105"/>
      <x:c r="G5" s="103"/>
      <x:c r="H5" s="105" t="str">
        <x:v>EMP remains non-damaging but makes enemies easier to destroy.</x:v>
      </x:c>
      <x:c r="I5" s="105"/>
      <x:c r="J5" s="105"/>
      <x:c r="K5" s="105"/>
      <x:c r="L5" s="105"/>
      <x:c r="M5" s="105"/>
    </x:row>
    <x:row r="6">
      <x:c r="A6" s="45" t="str">
        <x:v>Tier</x:v>
      </x:c>
      <x:c r="B6" s="46" t="str">
        <x:v>Upgrade</x:v>
      </x:c>
      <x:c r="C6" s="46" t="str">
        <x:v>Description</x:v>
      </x:c>
      <x:c r="D6" s="46" t="str">
        <x:v>Numerical Change</x:v>
      </x:c>
      <x:c r="E6" s="46" t="str">
        <x:v>Cost</x:v>
      </x:c>
      <x:c r="F6" s="47" t="str">
        <x:v>Cumulative</x:v>
      </x:c>
      <x:c r="G6" s="103"/>
      <x:c r="H6" s="45" t="str">
        <x:v>Tier</x:v>
      </x:c>
      <x:c r="I6" s="46" t="str">
        <x:v>Upgrade</x:v>
      </x:c>
      <x:c r="J6" s="46" t="str">
        <x:v>Description</x:v>
      </x:c>
      <x:c r="K6" s="46" t="str">
        <x:v>Numerical Change</x:v>
      </x:c>
      <x:c r="L6" s="46" t="str">
        <x:v>Cost</x:v>
      </x:c>
      <x:c r="M6" s="47" t="str">
        <x:v>Cumulative</x:v>
      </x:c>
    </x:row>
    <x:row r="7" ht="52" customHeight="1">
      <x:c r="A7" s="106" t="n">
        <x:v>1</x:v>
      </x:c>
      <x:c r="B7" s="48" t="str">
        <x:v>Field Amplifier</x:v>
      </x:c>
      <x:c r="C7" s="48" t="str">
        <x:v>Increases EMP disruption duration.</x:v>
      </x:c>
      <x:c r="D7" s="48" t="str">
        <x:v>+1.0 sec duration</x:v>
      </x:c>
      <x:c r="E7" s="107" t="n">
        <x:v>1</x:v>
      </x:c>
      <x:c r="F7" s="107" t="n">
        <x:f>E7</x:f>
        <x:v>1</x:v>
      </x:c>
      <x:c r="G7" s="103"/>
      <x:c r="H7" s="106" t="n">
        <x:v>1</x:v>
      </x:c>
      <x:c r="I7" s="48" t="str">
        <x:v>Sensor Blackout</x:v>
      </x:c>
      <x:c r="J7" s="48" t="str">
        <x:v>Disrupted ships wobble less predictably and cannot release payloads.</x:v>
      </x:c>
      <x:c r="K7" s="48" t="str">
        <x:v>Payload launch disabled</x:v>
      </x:c>
      <x:c r="L7" s="107" t="n">
        <x:v>1</x:v>
      </x:c>
      <x:c r="M7" s="107" t="n">
        <x:f>L7</x:f>
        <x:v>1</x:v>
      </x:c>
    </x:row>
    <x:row r="8" ht="52" customHeight="1">
      <x:c r="A8" s="108" t="n">
        <x:v>2</x:v>
      </x:c>
      <x:c r="B8" s="50" t="str">
        <x:v>Deep Suppression</x:v>
      </x:c>
      <x:c r="C8" s="50" t="str">
        <x:v>Affected ships move even more slowly.</x:v>
      </x:c>
      <x:c r="D8" s="50" t="str">
        <x:v>Speed reduced to 4%</x:v>
      </x:c>
      <x:c r="E8" s="109" t="n">
        <x:v>2</x:v>
      </x:c>
      <x:c r="F8" s="109" t="n">
        <x:f>F7+E8</x:f>
        <x:v>3</x:v>
      </x:c>
      <x:c r="G8" s="103"/>
      <x:c r="H8" s="108" t="n">
        <x:v>2</x:v>
      </x:c>
      <x:c r="I8" s="50" t="str">
        <x:v>Shield Collapse</x:v>
      </x:c>
      <x:c r="J8" s="50" t="str">
        <x:v>Disrupted targets take additional weapon damage.</x:v>
      </x:c>
      <x:c r="K8" s="50" t="str">
        <x:v>+15% incoming damage</x:v>
      </x:c>
      <x:c r="L8" s="109" t="n">
        <x:v>2</x:v>
      </x:c>
      <x:c r="M8" s="109" t="n">
        <x:f>M7+L8</x:f>
        <x:v>3</x:v>
      </x:c>
    </x:row>
    <x:row r="9" ht="52" customHeight="1">
      <x:c r="A9" s="108" t="n">
        <x:v>3</x:v>
      </x:c>
      <x:c r="B9" s="50" t="str">
        <x:v>Payload Arrest</x:v>
      </x:c>
      <x:c r="C9" s="50" t="str">
        <x:v>Alien payloads briefly stop instead of merely slowing.</x:v>
      </x:c>
      <x:c r="D9" s="50" t="str">
        <x:v>1.5 sec payload freeze</x:v>
      </x:c>
      <x:c r="E9" s="109" t="n">
        <x:v>3</x:v>
      </x:c>
      <x:c r="F9" s="109" t="n">
        <x:f>F8+E9</x:f>
        <x:v>6</x:v>
      </x:c>
      <x:c r="G9" s="103"/>
      <x:c r="H9" s="108" t="n">
        <x:v>3</x:v>
      </x:c>
      <x:c r="I9" s="50" t="str">
        <x:v>Cascade Interference</x:v>
      </x:c>
      <x:c r="J9" s="50" t="str">
        <x:v>Destroying a disrupted enemy spreads EMP to nearby targets.</x:v>
      </x:c>
      <x:c r="K9" s="50" t="str">
        <x:v>100 px chain radius</x:v>
      </x:c>
      <x:c r="L9" s="109" t="n">
        <x:v>3</x:v>
      </x:c>
      <x:c r="M9" s="109" t="n">
        <x:f>M8+L9</x:f>
        <x:v>6</x:v>
      </x:c>
    </x:row>
    <x:row r="10" ht="52" customHeight="1">
      <x:c r="A10" s="108" t="n">
        <x:v>4</x:v>
      </x:c>
      <x:c r="B10" s="50" t="str">
        <x:v>Residual Charge</x:v>
      </x:c>
      <x:c r="C10" s="50" t="str">
        <x:v>A weaker disruption lingers after the main pulse ends.</x:v>
      </x:c>
      <x:c r="D10" s="50" t="str">
        <x:v>3 sec at 40% strength</x:v>
      </x:c>
      <x:c r="E10" s="109" t="n">
        <x:v>4</x:v>
      </x:c>
      <x:c r="F10" s="109" t="n">
        <x:f>F9+E10</x:f>
        <x:v>10</x:v>
      </x:c>
      <x:c r="G10" s="103"/>
      <x:c r="H10" s="108" t="n">
        <x:v>4</x:v>
      </x:c>
      <x:c r="I10" s="50" t="str">
        <x:v>Boss Override</x:v>
      </x:c>
      <x:c r="J10" s="50" t="str">
        <x:v>Boss weapons and movement are more heavily suppressed.</x:v>
      </x:c>
      <x:c r="K10" s="50" t="str">
        <x:v>+50% boss disruption</x:v>
      </x:c>
      <x:c r="L10" s="109" t="n">
        <x:v>4</x:v>
      </x:c>
      <x:c r="M10" s="109" t="n">
        <x:f>M9+L10</x:f>
        <x:v>10</x:v>
      </x:c>
    </x:row>
    <x:row r="11" ht="52" customHeight="1">
      <x:c r="A11" s="108" t="n">
        <x:v>5</x:v>
      </x:c>
      <x:c r="B11" s="50" t="str">
        <x:v>Total Lockdown</x:v>
      </x:c>
      <x:c r="C11" s="50" t="str">
        <x:v>All targets freeze briefly before normal disruption begins.</x:v>
      </x:c>
      <x:c r="D11" s="50" t="str">
        <x:v>2 sec full freeze</x:v>
      </x:c>
      <x:c r="E11" s="109" t="n">
        <x:v>5</x:v>
      </x:c>
      <x:c r="F11" s="109" t="n">
        <x:f>F10+E11</x:f>
        <x:v>15</x:v>
      </x:c>
      <x:c r="G11" s="103"/>
      <x:c r="H11" s="108" t="n">
        <x:v>5</x:v>
      </x:c>
      <x:c r="I11" s="50" t="str">
        <x:v>System Failure</x:v>
      </x:c>
      <x:c r="J11" s="50" t="str">
        <x:v>Disrupted targets lose all special abilities for the pulse duration.</x:v>
      </x:c>
      <x:c r="K11" s="50" t="str">
        <x:v>Abilities disabled</x:v>
      </x:c>
      <x:c r="L11" s="109" t="n">
        <x:v>5</x:v>
      </x:c>
      <x:c r="M11" s="109" t="n">
        <x:f>M10+L11</x:f>
        <x:v>15</x:v>
      </x:c>
    </x:row>
    <x:row r="12">
      <x:c r="A12" s="43"/>
      <x:c r="B12" s="43"/>
      <x:c r="C12" s="43"/>
      <x:c r="D12" s="43"/>
      <x:c r="E12" s="43"/>
      <x:c r="F12" s="43"/>
      <x:c r="G12" s="103"/>
      <x:c r="H12" s="43"/>
      <x:c r="I12" s="43"/>
      <x:c r="J12" s="43"/>
      <x:c r="K12" s="43"/>
      <x:c r="L12" s="43"/>
      <x:c r="M12" s="43"/>
    </x:row>
    <x:row r="13" ht="30" customHeight="1">
      <x:c r="A13" s="110" t="str">
        <x:v>Branch rule: tiers are sequential; choose whether branches are exclusive or mixable during implementation.</x:v>
      </x:c>
      <x:c r="B13" s="110"/>
      <x:c r="C13" s="110"/>
      <x:c r="D13" s="110"/>
      <x:c r="E13" s="110"/>
      <x:c r="F13" s="110"/>
      <x:c r="G13" s="103"/>
      <x:c r="H13" s="110" t="str">
        <x:v>Branch rule: tiers are sequential; choose whether branches are exclusive or mixable during implementation.</x:v>
      </x:c>
      <x:c r="I13" s="110"/>
      <x:c r="J13" s="110"/>
      <x:c r="K13" s="110"/>
      <x:c r="L13" s="110"/>
      <x:c r="M13" s="110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111" t="str">
        <x:v>Designer Notes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</x:row>
    <x:row r="16" ht="24" customHeight="1">
      <x:c r="A16" s="112" t="str">
        <x:v>Editable notes: tune numerical values, branch exclusivity, and prerequisite rules after playtesting.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</x:row>
    <x:row r="17" ht="24" customHeight="1">
      <x:c r="A17" s="115"/>
      <x:c r="B17" s="116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6"/>
      <x:c r="M17" s="117"/>
    </x:row>
    <x:row r="18" ht="24" customHeight="1">
      <x:c r="A18" s="115"/>
      <x:c r="B18" s="116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6"/>
      <x:c r="M18" s="117"/>
    </x:row>
    <x:row r="19" ht="24" customHeight="1">
      <x:c r="A19" s="118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20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</x:sheetData>
  <x:mergeCells>
    <x:mergeCell ref="A1:M1"/>
    <x:mergeCell ref="A2:M2"/>
    <x:mergeCell ref="A4:F4"/>
    <x:mergeCell ref="A5:F5"/>
    <x:mergeCell ref="A13:F13"/>
    <x:mergeCell ref="H4:M4"/>
    <x:mergeCell ref="H5:M5"/>
    <x:mergeCell ref="H13:M13"/>
    <x:mergeCell ref="A15:M15"/>
    <x:mergeCell ref="A16:M19"/>
  </x:mergeCells>
  <x:pageMargins left="0.7" right="0.7" top="0.75" bottom="0.75" header="0.3" footer="0.3"/>
  <x:legacyDrawing xmlns:r="http://schemas.openxmlformats.org/officeDocument/2006/relationships" r:id="Ra3fe9a469de141f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3" hidden="0" customWidth="1"/>
    <x:col min="1" max="1" width="7" hidden="0" customWidth="1"/>
    <x:col min="2" max="2" width="22" hidden="0" customWidth="1"/>
    <x:col min="3" max="3" width="38" hidden="0" customWidth="1"/>
    <x:col min="4" max="4" width="25" hidden="0" customWidth="1"/>
    <x:col min="5" max="5" width="9" hidden="0" customWidth="1"/>
    <x:col min="6" max="6" width="12" hidden="0" customWidth="1"/>
    <x:col min="8" max="8" width="7" hidden="0" customWidth="1"/>
    <x:col min="9" max="9" width="22" hidden="0" customWidth="1"/>
    <x:col min="10" max="10" width="38" hidden="0" customWidth="1"/>
    <x:col min="11" max="11" width="25" hidden="0" customWidth="1"/>
    <x:col min="12" max="12" width="9" hidden="0" customWidth="1"/>
    <x:col min="13" max="13" width="12" hidden="0" customWidth="1"/>
  </x:cols>
  <x:sheetData>
    <x:row r="1" ht="34" customHeight="1">
      <x:c r="A1" s="42" t="str">
        <x:v>Railgun Upgrade Tree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8" customHeight="1">
      <x:c r="A2" s="44" t="str">
        <x:v>High-power piercing lane attack | Control: B / E</x:v>
      </x:c>
      <x:c r="B2" s="44" t="str">
        <x:v>High-power piercing lane attack | Control: B / E</x:v>
      </x:c>
      <x:c r="C2" s="44" t="str">
        <x:v>High-power piercing lane attack | Control: B / E</x:v>
      </x:c>
      <x:c r="D2" s="44" t="str">
        <x:v>High-power piercing lane attack | Control: B / E</x:v>
      </x:c>
      <x:c r="E2" s="44" t="str">
        <x:v>High-power piercing lane attack | Control: B / E</x:v>
      </x:c>
      <x:c r="F2" s="44" t="str">
        <x:v>High-power piercing lane attack | Control: B / E</x:v>
      </x:c>
      <x:c r="G2" s="44" t="str">
        <x:v>High-power piercing lane attack | Control: B / E</x:v>
      </x:c>
      <x:c r="H2" s="44" t="str">
        <x:v>High-power piercing lane attack | Control: B / E</x:v>
      </x:c>
      <x:c r="I2" s="44" t="str">
        <x:v>High-power piercing lane attack | Control: B / E</x:v>
      </x:c>
      <x:c r="J2" s="44" t="str">
        <x:v>High-power piercing lane attack | Control: B / E</x:v>
      </x:c>
      <x:c r="K2" s="44" t="str">
        <x:v>High-power piercing lane attack | Control: B / E</x:v>
      </x:c>
      <x:c r="L2" s="44" t="str">
        <x:v>High-power piercing lane attack | Control: B / E</x:v>
      </x:c>
      <x:c r="M2" s="44" t="str">
        <x:v>High-power piercing lane attack | Control: B / E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 ht="26" customHeight="1">
      <x:c r="A4" s="102" t="str">
        <x:v>Capacitor Cascade</x:v>
      </x:c>
      <x:c r="B4" s="102"/>
      <x:c r="C4" s="102"/>
      <x:c r="D4" s="102"/>
      <x:c r="E4" s="102"/>
      <x:c r="F4" s="102"/>
      <x:c r="G4" s="103"/>
      <x:c r="H4" s="104" t="str">
        <x:v>Singularity Lance</x:v>
      </x:c>
      <x:c r="I4" s="104"/>
      <x:c r="J4" s="104"/>
      <x:c r="K4" s="104"/>
      <x:c r="L4" s="104"/>
      <x:c r="M4" s="104"/>
    </x:row>
    <x:row r="5" ht="34" customHeight="1">
      <x:c r="A5" s="105" t="str">
        <x:v>Multiple pulses, wider coverage, and repeated lane clearing.</x:v>
      </x:c>
      <x:c r="B5" s="105"/>
      <x:c r="C5" s="105"/>
      <x:c r="D5" s="105"/>
      <x:c r="E5" s="105"/>
      <x:c r="F5" s="105"/>
      <x:c r="G5" s="103"/>
      <x:c r="H5" s="105" t="str">
        <x:v>One enormous shot optimized for bosses and armored targets.</x:v>
      </x:c>
      <x:c r="I5" s="105"/>
      <x:c r="J5" s="105"/>
      <x:c r="K5" s="105"/>
      <x:c r="L5" s="105"/>
      <x:c r="M5" s="105"/>
    </x:row>
    <x:row r="6">
      <x:c r="A6" s="45" t="str">
        <x:v>Tier</x:v>
      </x:c>
      <x:c r="B6" s="46" t="str">
        <x:v>Upgrade</x:v>
      </x:c>
      <x:c r="C6" s="46" t="str">
        <x:v>Description</x:v>
      </x:c>
      <x:c r="D6" s="46" t="str">
        <x:v>Numerical Change</x:v>
      </x:c>
      <x:c r="E6" s="46" t="str">
        <x:v>Cost</x:v>
      </x:c>
      <x:c r="F6" s="47" t="str">
        <x:v>Cumulative</x:v>
      </x:c>
      <x:c r="G6" s="103"/>
      <x:c r="H6" s="45" t="str">
        <x:v>Tier</x:v>
      </x:c>
      <x:c r="I6" s="46" t="str">
        <x:v>Upgrade</x:v>
      </x:c>
      <x:c r="J6" s="46" t="str">
        <x:v>Description</x:v>
      </x:c>
      <x:c r="K6" s="46" t="str">
        <x:v>Numerical Change</x:v>
      </x:c>
      <x:c r="L6" s="46" t="str">
        <x:v>Cost</x:v>
      </x:c>
      <x:c r="M6" s="47" t="str">
        <x:v>Cumulative</x:v>
      </x:c>
    </x:row>
    <x:row r="7" ht="52" customHeight="1">
      <x:c r="A7" s="106" t="n">
        <x:v>1</x:v>
      </x:c>
      <x:c r="B7" s="48" t="str">
        <x:v>Capacitor Echo</x:v>
      </x:c>
      <x:c r="C7" s="48" t="str">
        <x:v>Adds a second rail pulse after the first.</x:v>
      </x:c>
      <x:c r="D7" s="48" t="str">
        <x:v>Second pulse at 65%</x:v>
      </x:c>
      <x:c r="E7" s="107" t="n">
        <x:v>1</x:v>
      </x:c>
      <x:c r="F7" s="107" t="n">
        <x:f>E7</x:f>
        <x:v>1</x:v>
      </x:c>
      <x:c r="G7" s="103"/>
      <x:c r="H7" s="106" t="n">
        <x:v>1</x:v>
      </x:c>
      <x:c r="I7" s="48" t="str">
        <x:v>Rail Accelerator</x:v>
      </x:c>
      <x:c r="J7" s="48" t="str">
        <x:v>Increases base rail damage.</x:v>
      </x:c>
      <x:c r="K7" s="48" t="str">
        <x:v>+30% damage</x:v>
      </x:c>
      <x:c r="L7" s="107" t="n">
        <x:v>1</x:v>
      </x:c>
      <x:c r="M7" s="107" t="n">
        <x:f>L7</x:f>
        <x:v>1</x:v>
      </x:c>
    </x:row>
    <x:row r="8" ht="52" customHeight="1">
      <x:c r="A8" s="108" t="n">
        <x:v>2</x:v>
      </x:c>
      <x:c r="B8" s="50" t="str">
        <x:v>Wide Conduit</x:v>
      </x:c>
      <x:c r="C8" s="50" t="str">
        <x:v>Increases beam width.</x:v>
      </x:c>
      <x:c r="D8" s="50" t="str">
        <x:v>+24 px beam width</x:v>
      </x:c>
      <x:c r="E8" s="109" t="n">
        <x:v>2</x:v>
      </x:c>
      <x:c r="F8" s="109" t="n">
        <x:f>F7+E8</x:f>
        <x:v>3</x:v>
      </x:c>
      <x:c r="G8" s="103"/>
      <x:c r="H8" s="108" t="n">
        <x:v>2</x:v>
      </x:c>
      <x:c r="I8" s="50" t="str">
        <x:v>Tungsten Lance</x:v>
      </x:c>
      <x:c r="J8" s="50" t="str">
        <x:v>Greatly increases boss and elite damage.</x:v>
      </x:c>
      <x:c r="K8" s="50" t="str">
        <x:v>+60% elite/boss damage</x:v>
      </x:c>
      <x:c r="L8" s="109" t="n">
        <x:v>2</x:v>
      </x:c>
      <x:c r="M8" s="109" t="n">
        <x:f>M7+L8</x:f>
        <x:v>3</x:v>
      </x:c>
    </x:row>
    <x:row r="9" ht="52" customHeight="1">
      <x:c r="A9" s="108" t="n">
        <x:v>3</x:v>
      </x:c>
      <x:c r="B9" s="50" t="str">
        <x:v>Triple Discharge</x:v>
      </x:c>
      <x:c r="C9" s="50" t="str">
        <x:v>Adds a third pulse to the firing sequence.</x:v>
      </x:c>
      <x:c r="D9" s="50" t="str">
        <x:v>Third pulse at 55%</x:v>
      </x:c>
      <x:c r="E9" s="109" t="n">
        <x:v>3</x:v>
      </x:c>
      <x:c r="F9" s="109" t="n">
        <x:f>F8+E9</x:f>
        <x:v>6</x:v>
      </x:c>
      <x:c r="G9" s="103"/>
      <x:c r="H9" s="108" t="n">
        <x:v>3</x:v>
      </x:c>
      <x:c r="I9" s="50" t="str">
        <x:v>Payload Vaporizer</x:v>
      </x:c>
      <x:c r="J9" s="50" t="str">
        <x:v>Railgun instantly destroys most non-boss payloads.</x:v>
      </x:c>
      <x:c r="K9" s="50" t="str">
        <x:v>4x payload damage</x:v>
      </x:c>
      <x:c r="L9" s="109" t="n">
        <x:v>3</x:v>
      </x:c>
      <x:c r="M9" s="109" t="n">
        <x:f>M8+L9</x:f>
        <x:v>6</x:v>
      </x:c>
    </x:row>
    <x:row r="10" ht="52" customHeight="1">
      <x:c r="A10" s="108" t="n">
        <x:v>4</x:v>
      </x:c>
      <x:c r="B10" s="50" t="str">
        <x:v>Resonant Channel</x:v>
      </x:c>
      <x:c r="C10" s="50" t="str">
        <x:v>Each hit slightly strengthens the next pulse.</x:v>
      </x:c>
      <x:c r="D10" s="50" t="str">
        <x:v>+8% per prior hit</x:v>
      </x:c>
      <x:c r="E10" s="109" t="n">
        <x:v>4</x:v>
      </x:c>
      <x:c r="F10" s="109" t="n">
        <x:f>F9+E10</x:f>
        <x:v>10</x:v>
      </x:c>
      <x:c r="G10" s="103"/>
      <x:c r="H10" s="108" t="n">
        <x:v>4</x:v>
      </x:c>
      <x:c r="I10" s="50" t="str">
        <x:v>Critical Channel</x:v>
      </x:c>
      <x:c r="J10" s="50" t="str">
        <x:v>Targets near the beam center take additional damage.</x:v>
      </x:c>
      <x:c r="K10" s="50" t="str">
        <x:v>+50% centerline damage</x:v>
      </x:c>
      <x:c r="L10" s="109" t="n">
        <x:v>4</x:v>
      </x:c>
      <x:c r="M10" s="109" t="n">
        <x:f>M9+L10</x:f>
        <x:v>10</x:v>
      </x:c>
    </x:row>
    <x:row r="11" ht="52" customHeight="1">
      <x:c r="A11" s="108" t="n">
        <x:v>5</x:v>
      </x:c>
      <x:c r="B11" s="50" t="str">
        <x:v>Storm Rail</x:v>
      </x:c>
      <x:c r="C11" s="50" t="str">
        <x:v>Fires five rapid pulses across a very wide lane.</x:v>
      </x:c>
      <x:c r="D11" s="50" t="str">
        <x:v>5-pulse sequence</x:v>
      </x:c>
      <x:c r="E11" s="109" t="n">
        <x:v>5</x:v>
      </x:c>
      <x:c r="F11" s="109" t="n">
        <x:f>F10+E11</x:f>
        <x:v>15</x:v>
      </x:c>
      <x:c r="G11" s="103"/>
      <x:c r="H11" s="108" t="n">
        <x:v>5</x:v>
      </x:c>
      <x:c r="I11" s="50" t="str">
        <x:v>Singularity Lance</x:v>
      </x:c>
      <x:c r="J11" s="50" t="str">
        <x:v>Condenses the sequence into one devastating narrow beam.</x:v>
      </x:c>
      <x:c r="K11" s="50" t="str">
        <x:v>3.5x damage, narrower beam</x:v>
      </x:c>
      <x:c r="L11" s="109" t="n">
        <x:v>5</x:v>
      </x:c>
      <x:c r="M11" s="109" t="n">
        <x:f>M10+L11</x:f>
        <x:v>15</x:v>
      </x:c>
    </x:row>
    <x:row r="12">
      <x:c r="A12" s="43"/>
      <x:c r="B12" s="43"/>
      <x:c r="C12" s="43"/>
      <x:c r="D12" s="43"/>
      <x:c r="E12" s="43"/>
      <x:c r="F12" s="43"/>
      <x:c r="G12" s="103"/>
      <x:c r="H12" s="43"/>
      <x:c r="I12" s="43"/>
      <x:c r="J12" s="43"/>
      <x:c r="K12" s="43"/>
      <x:c r="L12" s="43"/>
      <x:c r="M12" s="43"/>
    </x:row>
    <x:row r="13" ht="30" customHeight="1">
      <x:c r="A13" s="110" t="str">
        <x:v>Branch rule: tiers are sequential; choose whether branches are exclusive or mixable during implementation.</x:v>
      </x:c>
      <x:c r="B13" s="110"/>
      <x:c r="C13" s="110"/>
      <x:c r="D13" s="110"/>
      <x:c r="E13" s="110"/>
      <x:c r="F13" s="110"/>
      <x:c r="G13" s="103"/>
      <x:c r="H13" s="110" t="str">
        <x:v>Branch rule: tiers are sequential; choose whether branches are exclusive or mixable during implementation.</x:v>
      </x:c>
      <x:c r="I13" s="110"/>
      <x:c r="J13" s="110"/>
      <x:c r="K13" s="110"/>
      <x:c r="L13" s="110"/>
      <x:c r="M13" s="110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111" t="str">
        <x:v>Designer Notes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</x:row>
    <x:row r="16" ht="24" customHeight="1">
      <x:c r="A16" s="112" t="str">
        <x:v>Editable notes: tune numerical values, branch exclusivity, and prerequisite rules after playtesting.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</x:row>
    <x:row r="17" ht="24" customHeight="1">
      <x:c r="A17" s="115"/>
      <x:c r="B17" s="116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6"/>
      <x:c r="M17" s="117"/>
    </x:row>
    <x:row r="18" ht="24" customHeight="1">
      <x:c r="A18" s="115"/>
      <x:c r="B18" s="116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6"/>
      <x:c r="M18" s="117"/>
    </x:row>
    <x:row r="19" ht="24" customHeight="1">
      <x:c r="A19" s="118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20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</x:sheetData>
  <x:mergeCells>
    <x:mergeCell ref="A1:M1"/>
    <x:mergeCell ref="A2:M2"/>
    <x:mergeCell ref="A4:F4"/>
    <x:mergeCell ref="A5:F5"/>
    <x:mergeCell ref="A13:F13"/>
    <x:mergeCell ref="H4:M4"/>
    <x:mergeCell ref="H5:M5"/>
    <x:mergeCell ref="H13:M13"/>
    <x:mergeCell ref="A15:M15"/>
    <x:mergeCell ref="A16:M19"/>
  </x:mergeCells>
  <x:pageMargins left="0.7" right="0.7" top="0.75" bottom="0.75" header="0.3" footer="0.3"/>
  <x:legacyDrawing xmlns:r="http://schemas.openxmlformats.org/officeDocument/2006/relationships" r:id="R8f090e289e014fa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3" hidden="0" customWidth="1"/>
    <x:col min="1" max="1" width="7" hidden="0" customWidth="1"/>
    <x:col min="2" max="2" width="22" hidden="0" customWidth="1"/>
    <x:col min="3" max="3" width="38" hidden="0" customWidth="1"/>
    <x:col min="4" max="4" width="25" hidden="0" customWidth="1"/>
    <x:col min="5" max="5" width="9" hidden="0" customWidth="1"/>
    <x:col min="6" max="6" width="12" hidden="0" customWidth="1"/>
    <x:col min="8" max="8" width="7" hidden="0" customWidth="1"/>
    <x:col min="9" max="9" width="22" hidden="0" customWidth="1"/>
    <x:col min="10" max="10" width="38" hidden="0" customWidth="1"/>
    <x:col min="11" max="11" width="25" hidden="0" customWidth="1"/>
    <x:col min="12" max="12" width="9" hidden="0" customWidth="1"/>
    <x:col min="13" max="13" width="12" hidden="0" customWidth="1"/>
  </x:cols>
  <x:sheetData>
    <x:row r="1" ht="34" customHeight="1">
      <x:c r="A1" s="42" t="str">
        <x:v>Gravity Well Upgrade Tree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8" customHeight="1">
      <x:c r="A2" s="44" t="str">
        <x:v>Formation control and payload capture | Control: LT / G</x:v>
      </x:c>
      <x:c r="B2" s="44" t="str">
        <x:v>Formation control and payload capture | Control: LT / G</x:v>
      </x:c>
      <x:c r="C2" s="44" t="str">
        <x:v>Formation control and payload capture | Control: LT / G</x:v>
      </x:c>
      <x:c r="D2" s="44" t="str">
        <x:v>Formation control and payload capture | Control: LT / G</x:v>
      </x:c>
      <x:c r="E2" s="44" t="str">
        <x:v>Formation control and payload capture | Control: LT / G</x:v>
      </x:c>
      <x:c r="F2" s="44" t="str">
        <x:v>Formation control and payload capture | Control: LT / G</x:v>
      </x:c>
      <x:c r="G2" s="44" t="str">
        <x:v>Formation control and payload capture | Control: LT / G</x:v>
      </x:c>
      <x:c r="H2" s="44" t="str">
        <x:v>Formation control and payload capture | Control: LT / G</x:v>
      </x:c>
      <x:c r="I2" s="44" t="str">
        <x:v>Formation control and payload capture | Control: LT / G</x:v>
      </x:c>
      <x:c r="J2" s="44" t="str">
        <x:v>Formation control and payload capture | Control: LT / G</x:v>
      </x:c>
      <x:c r="K2" s="44" t="str">
        <x:v>Formation control and payload capture | Control: LT / G</x:v>
      </x:c>
      <x:c r="L2" s="44" t="str">
        <x:v>Formation control and payload capture | Control: LT / G</x:v>
      </x:c>
      <x:c r="M2" s="44" t="str">
        <x:v>Formation control and payload capture | Control: LT / G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 ht="26" customHeight="1">
      <x:c r="A4" s="102" t="str">
        <x:v>Compression Field</x:v>
      </x:c>
      <x:c r="B4" s="102"/>
      <x:c r="C4" s="102"/>
      <x:c r="D4" s="102"/>
      <x:c r="E4" s="102"/>
      <x:c r="F4" s="102"/>
      <x:c r="G4" s="103"/>
      <x:c r="H4" s="104" t="str">
        <x:v>Orbital Control</x:v>
      </x:c>
      <x:c r="I4" s="104"/>
      <x:c r="J4" s="104"/>
      <x:c r="K4" s="104"/>
      <x:c r="L4" s="104"/>
      <x:c r="M4" s="104"/>
    </x:row>
    <x:row r="5" ht="34" customHeight="1">
      <x:c r="A5" s="105" t="str">
        <x:v>Crushes targets together and increases damage inside the well.</x:v>
      </x:c>
      <x:c r="B5" s="105"/>
      <x:c r="C5" s="105"/>
      <x:c r="D5" s="105"/>
      <x:c r="E5" s="105"/>
      <x:c r="F5" s="105"/>
      <x:c r="G5" s="103"/>
      <x:c r="H5" s="105" t="str">
        <x:v>Larger wells, longer duration, and multiple placement options.</x:v>
      </x:c>
      <x:c r="I5" s="105"/>
      <x:c r="J5" s="105"/>
      <x:c r="K5" s="105"/>
      <x:c r="L5" s="105"/>
      <x:c r="M5" s="105"/>
    </x:row>
    <x:row r="6">
      <x:c r="A6" s="45" t="str">
        <x:v>Tier</x:v>
      </x:c>
      <x:c r="B6" s="46" t="str">
        <x:v>Upgrade</x:v>
      </x:c>
      <x:c r="C6" s="46" t="str">
        <x:v>Description</x:v>
      </x:c>
      <x:c r="D6" s="46" t="str">
        <x:v>Numerical Change</x:v>
      </x:c>
      <x:c r="E6" s="46" t="str">
        <x:v>Cost</x:v>
      </x:c>
      <x:c r="F6" s="47" t="str">
        <x:v>Cumulative</x:v>
      </x:c>
      <x:c r="G6" s="103"/>
      <x:c r="H6" s="45" t="str">
        <x:v>Tier</x:v>
      </x:c>
      <x:c r="I6" s="46" t="str">
        <x:v>Upgrade</x:v>
      </x:c>
      <x:c r="J6" s="46" t="str">
        <x:v>Description</x:v>
      </x:c>
      <x:c r="K6" s="46" t="str">
        <x:v>Numerical Change</x:v>
      </x:c>
      <x:c r="L6" s="46" t="str">
        <x:v>Cost</x:v>
      </x:c>
      <x:c r="M6" s="47" t="str">
        <x:v>Cumulative</x:v>
      </x:c>
    </x:row>
    <x:row r="7" ht="52" customHeight="1">
      <x:c r="A7" s="106" t="n">
        <x:v>1</x:v>
      </x:c>
      <x:c r="B7" s="48" t="str">
        <x:v>Crushing Field</x:v>
      </x:c>
      <x:c r="C7" s="48" t="str">
        <x:v>Adds continuous damage inside the gravity well.</x:v>
      </x:c>
      <x:c r="D7" s="48" t="str">
        <x:v>+35 damage/sec</x:v>
      </x:c>
      <x:c r="E7" s="107" t="n">
        <x:v>1</x:v>
      </x:c>
      <x:c r="F7" s="107" t="n">
        <x:f>E7</x:f>
        <x:v>1</x:v>
      </x:c>
      <x:c r="G7" s="103"/>
      <x:c r="H7" s="106" t="n">
        <x:v>1</x:v>
      </x:c>
      <x:c r="I7" s="48" t="str">
        <x:v>Expanded Singularity</x:v>
      </x:c>
      <x:c r="J7" s="48" t="str">
        <x:v>Increases gravity well radius.</x:v>
      </x:c>
      <x:c r="K7" s="48" t="str">
        <x:v>+25% radius</x:v>
      </x:c>
      <x:c r="L7" s="107" t="n">
        <x:v>1</x:v>
      </x:c>
      <x:c r="M7" s="107" t="n">
        <x:f>L7</x:f>
        <x:v>1</x:v>
      </x:c>
    </x:row>
    <x:row r="8" ht="52" customHeight="1">
      <x:c r="A8" s="108" t="n">
        <x:v>2</x:v>
      </x:c>
      <x:c r="B8" s="50" t="str">
        <x:v>Tidal Stress</x:v>
      </x:c>
      <x:c r="C8" s="50" t="str">
        <x:v>Targets closer to the center take more damage.</x:v>
      </x:c>
      <x:c r="D8" s="50" t="str">
        <x:v>Up to 2x center damage</x:v>
      </x:c>
      <x:c r="E8" s="109" t="n">
        <x:v>2</x:v>
      </x:c>
      <x:c r="F8" s="109" t="n">
        <x:f>F7+E8</x:f>
        <x:v>3</x:v>
      </x:c>
      <x:c r="G8" s="103"/>
      <x:c r="H8" s="108" t="n">
        <x:v>2</x:v>
      </x:c>
      <x:c r="I8" s="50" t="str">
        <x:v>Stable Orbit</x:v>
      </x:c>
      <x:c r="J8" s="50" t="str">
        <x:v>Increases well duration.</x:v>
      </x:c>
      <x:c r="K8" s="50" t="str">
        <x:v>+2 sec duration</x:v>
      </x:c>
      <x:c r="L8" s="109" t="n">
        <x:v>2</x:v>
      </x:c>
      <x:c r="M8" s="109" t="n">
        <x:f>M7+L8</x:f>
        <x:v>3</x:v>
      </x:c>
    </x:row>
    <x:row r="9" ht="52" customHeight="1">
      <x:c r="A9" s="108" t="n">
        <x:v>3</x:v>
      </x:c>
      <x:c r="B9" s="50" t="str">
        <x:v>Payload Collapse</x:v>
      </x:c>
      <x:c r="C9" s="50" t="str">
        <x:v>Alien payloads take increased gravity damage.</x:v>
      </x:c>
      <x:c r="D9" s="50" t="str">
        <x:v>+75% payload damage</x:v>
      </x:c>
      <x:c r="E9" s="109" t="n">
        <x:v>3</x:v>
      </x:c>
      <x:c r="F9" s="109" t="n">
        <x:f>F8+E9</x:f>
        <x:v>6</x:v>
      </x:c>
      <x:c r="G9" s="103"/>
      <x:c r="H9" s="108" t="n">
        <x:v>3</x:v>
      </x:c>
      <x:c r="I9" s="50" t="str">
        <x:v>Vector Pull</x:v>
      </x:c>
      <x:c r="J9" s="50" t="str">
        <x:v>Pull strength increases and affects faster ships.</x:v>
      </x:c>
      <x:c r="K9" s="50" t="str">
        <x:v>+35% pull strength</x:v>
      </x:c>
      <x:c r="L9" s="109" t="n">
        <x:v>3</x:v>
      </x:c>
      <x:c r="M9" s="109" t="n">
        <x:f>M8+L9</x:f>
        <x:v>6</x:v>
      </x:c>
    </x:row>
    <x:row r="10" ht="52" customHeight="1">
      <x:c r="A10" s="108" t="n">
        <x:v>4</x:v>
      </x:c>
      <x:c r="B10" s="50" t="str">
        <x:v>Compression Burst</x:v>
      </x:c>
      <x:c r="C10" s="50" t="str">
        <x:v>The well explodes when it expires.</x:v>
      </x:c>
      <x:c r="D10" s="50" t="str">
        <x:v>180 final blast damage</x:v>
      </x:c>
      <x:c r="E10" s="109" t="n">
        <x:v>4</x:v>
      </x:c>
      <x:c r="F10" s="109" t="n">
        <x:f>F9+E10</x:f>
        <x:v>10</x:v>
      </x:c>
      <x:c r="G10" s="103"/>
      <x:c r="H10" s="108" t="n">
        <x:v>4</x:v>
      </x:c>
      <x:c r="I10" s="50" t="str">
        <x:v>Twin Wells</x:v>
      </x:c>
      <x:c r="J10" s="50" t="str">
        <x:v>Deploys two smaller wells around the aiming point.</x:v>
      </x:c>
      <x:c r="K10" s="50" t="str">
        <x:v>2 wells at 75% size</x:v>
      </x:c>
      <x:c r="L10" s="109" t="n">
        <x:v>4</x:v>
      </x:c>
      <x:c r="M10" s="109" t="n">
        <x:f>M9+L10</x:f>
        <x:v>10</x:v>
      </x:c>
    </x:row>
    <x:row r="11" ht="52" customHeight="1">
      <x:c r="A11" s="108" t="n">
        <x:v>5</x:v>
      </x:c>
      <x:c r="B11" s="50" t="str">
        <x:v>Event Horizon</x:v>
      </x:c>
      <x:c r="C11" s="50" t="str">
        <x:v>Targets at the center are briefly trapped and heavily damaged.</x:v>
      </x:c>
      <x:c r="D11" s="50" t="str">
        <x:v>2 sec center trap</x:v>
      </x:c>
      <x:c r="E11" s="109" t="n">
        <x:v>5</x:v>
      </x:c>
      <x:c r="F11" s="109" t="n">
        <x:f>F10+E11</x:f>
        <x:v>15</x:v>
      </x:c>
      <x:c r="G11" s="103"/>
      <x:c r="H11" s="108" t="n">
        <x:v>5</x:v>
      </x:c>
      <x:c r="I11" s="50" t="str">
        <x:v>Orbital Prison</x:v>
      </x:c>
      <x:c r="J11" s="50" t="str">
        <x:v>Creates a long-duration field that follows the densest cluster.</x:v>
      </x:c>
      <x:c r="K11" s="50" t="str">
        <x:v>Tracking 8 sec well</x:v>
      </x:c>
      <x:c r="L11" s="109" t="n">
        <x:v>5</x:v>
      </x:c>
      <x:c r="M11" s="109" t="n">
        <x:f>M10+L11</x:f>
        <x:v>15</x:v>
      </x:c>
    </x:row>
    <x:row r="12">
      <x:c r="A12" s="43"/>
      <x:c r="B12" s="43"/>
      <x:c r="C12" s="43"/>
      <x:c r="D12" s="43"/>
      <x:c r="E12" s="43"/>
      <x:c r="F12" s="43"/>
      <x:c r="G12" s="103"/>
      <x:c r="H12" s="43"/>
      <x:c r="I12" s="43"/>
      <x:c r="J12" s="43"/>
      <x:c r="K12" s="43"/>
      <x:c r="L12" s="43"/>
      <x:c r="M12" s="43"/>
    </x:row>
    <x:row r="13" ht="30" customHeight="1">
      <x:c r="A13" s="110" t="str">
        <x:v>Branch rule: tiers are sequential; choose whether branches are exclusive or mixable during implementation.</x:v>
      </x:c>
      <x:c r="B13" s="110"/>
      <x:c r="C13" s="110"/>
      <x:c r="D13" s="110"/>
      <x:c r="E13" s="110"/>
      <x:c r="F13" s="110"/>
      <x:c r="G13" s="103"/>
      <x:c r="H13" s="110" t="str">
        <x:v>Branch rule: tiers are sequential; choose whether branches are exclusive or mixable during implementation.</x:v>
      </x:c>
      <x:c r="I13" s="110"/>
      <x:c r="J13" s="110"/>
      <x:c r="K13" s="110"/>
      <x:c r="L13" s="110"/>
      <x:c r="M13" s="110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111" t="str">
        <x:v>Designer Notes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</x:row>
    <x:row r="16" ht="24" customHeight="1">
      <x:c r="A16" s="112" t="str">
        <x:v>Editable notes: tune numerical values, branch exclusivity, and prerequisite rules after playtesting.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</x:row>
    <x:row r="17" ht="24" customHeight="1">
      <x:c r="A17" s="115"/>
      <x:c r="B17" s="116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6"/>
      <x:c r="M17" s="117"/>
    </x:row>
    <x:row r="18" ht="24" customHeight="1">
      <x:c r="A18" s="115"/>
      <x:c r="B18" s="116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6"/>
      <x:c r="M18" s="117"/>
    </x:row>
    <x:row r="19" ht="24" customHeight="1">
      <x:c r="A19" s="118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20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</x:sheetData>
  <x:mergeCells>
    <x:mergeCell ref="A1:M1"/>
    <x:mergeCell ref="A2:M2"/>
    <x:mergeCell ref="A4:F4"/>
    <x:mergeCell ref="A5:F5"/>
    <x:mergeCell ref="A13:F13"/>
    <x:mergeCell ref="H4:M4"/>
    <x:mergeCell ref="H5:M5"/>
    <x:mergeCell ref="H13:M13"/>
    <x:mergeCell ref="A15:M15"/>
    <x:mergeCell ref="A16:M19"/>
  </x:mergeCells>
  <x:pageMargins left="0.7" right="0.7" top="0.75" bottom="0.75" header="0.3" footer="0.3"/>
  <x:legacyDrawing xmlns:r="http://schemas.openxmlformats.org/officeDocument/2006/relationships" r:id="Rf9ed7558f9164c9a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3" hidden="0" customWidth="1"/>
    <x:col min="1" max="1" width="7" hidden="0" customWidth="1"/>
    <x:col min="2" max="2" width="22" hidden="0" customWidth="1"/>
    <x:col min="3" max="3" width="38" hidden="0" customWidth="1"/>
    <x:col min="4" max="4" width="25" hidden="0" customWidth="1"/>
    <x:col min="5" max="5" width="9" hidden="0" customWidth="1"/>
    <x:col min="6" max="6" width="12" hidden="0" customWidth="1"/>
    <x:col min="8" max="8" width="7" hidden="0" customWidth="1"/>
    <x:col min="9" max="9" width="22" hidden="0" customWidth="1"/>
    <x:col min="10" max="10" width="38" hidden="0" customWidth="1"/>
    <x:col min="11" max="11" width="25" hidden="0" customWidth="1"/>
    <x:col min="12" max="12" width="9" hidden="0" customWidth="1"/>
    <x:col min="13" max="13" width="12" hidden="0" customWidth="1"/>
  </x:cols>
  <x:sheetData>
    <x:row r="1" ht="34" customHeight="1">
      <x:c r="A1" s="42" t="str">
        <x:v>Drone Squadron Upgrade Tree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8" customHeight="1">
      <x:c r="A2" s="44" t="str">
        <x:v>Permanent autonomous support | Control: Passive</x:v>
      </x:c>
      <x:c r="B2" s="44" t="str">
        <x:v>Permanent autonomous support | Control: Passive</x:v>
      </x:c>
      <x:c r="C2" s="44" t="str">
        <x:v>Permanent autonomous support | Control: Passive</x:v>
      </x:c>
      <x:c r="D2" s="44" t="str">
        <x:v>Permanent autonomous support | Control: Passive</x:v>
      </x:c>
      <x:c r="E2" s="44" t="str">
        <x:v>Permanent autonomous support | Control: Passive</x:v>
      </x:c>
      <x:c r="F2" s="44" t="str">
        <x:v>Permanent autonomous support | Control: Passive</x:v>
      </x:c>
      <x:c r="G2" s="44" t="str">
        <x:v>Permanent autonomous support | Control: Passive</x:v>
      </x:c>
      <x:c r="H2" s="44" t="str">
        <x:v>Permanent autonomous support | Control: Passive</x:v>
      </x:c>
      <x:c r="I2" s="44" t="str">
        <x:v>Permanent autonomous support | Control: Passive</x:v>
      </x:c>
      <x:c r="J2" s="44" t="str">
        <x:v>Permanent autonomous support | Control: Passive</x:v>
      </x:c>
      <x:c r="K2" s="44" t="str">
        <x:v>Permanent autonomous support | Control: Passive</x:v>
      </x:c>
      <x:c r="L2" s="44" t="str">
        <x:v>Permanent autonomous support | Control: Passive</x:v>
      </x:c>
      <x:c r="M2" s="44" t="str">
        <x:v>Permanent autonomous support | Control: Passive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 ht="26" customHeight="1">
      <x:c r="A4" s="102" t="str">
        <x:v>Interceptor Wing</x:v>
      </x:c>
      <x:c r="B4" s="102"/>
      <x:c r="C4" s="102"/>
      <x:c r="D4" s="102"/>
      <x:c r="E4" s="102"/>
      <x:c r="F4" s="102"/>
      <x:c r="G4" s="103"/>
      <x:c r="H4" s="104" t="str">
        <x:v>Support Network</x:v>
      </x:c>
      <x:c r="I4" s="104"/>
      <x:c r="J4" s="104"/>
      <x:c r="K4" s="104"/>
      <x:c r="L4" s="104"/>
      <x:c r="M4" s="104"/>
    </x:row>
    <x:row r="5" ht="34" customHeight="1">
      <x:c r="A5" s="105" t="str">
        <x:v>Improves combat performance and prioritizes dangerous payloads.</x:v>
      </x:c>
      <x:c r="B5" s="105"/>
      <x:c r="C5" s="105"/>
      <x:c r="D5" s="105"/>
      <x:c r="E5" s="105"/>
      <x:c r="F5" s="105"/>
      <x:c r="G5" s="103"/>
      <x:c r="H5" s="105" t="str">
        <x:v>Improves salvage collection, repairs, and defensive utility.</x:v>
      </x:c>
      <x:c r="I5" s="105"/>
      <x:c r="J5" s="105"/>
      <x:c r="K5" s="105"/>
      <x:c r="L5" s="105"/>
      <x:c r="M5" s="105"/>
    </x:row>
    <x:row r="6">
      <x:c r="A6" s="45" t="str">
        <x:v>Tier</x:v>
      </x:c>
      <x:c r="B6" s="46" t="str">
        <x:v>Upgrade</x:v>
      </x:c>
      <x:c r="C6" s="46" t="str">
        <x:v>Description</x:v>
      </x:c>
      <x:c r="D6" s="46" t="str">
        <x:v>Numerical Change</x:v>
      </x:c>
      <x:c r="E6" s="46" t="str">
        <x:v>Cost</x:v>
      </x:c>
      <x:c r="F6" s="47" t="str">
        <x:v>Cumulative</x:v>
      </x:c>
      <x:c r="G6" s="103"/>
      <x:c r="H6" s="45" t="str">
        <x:v>Tier</x:v>
      </x:c>
      <x:c r="I6" s="46" t="str">
        <x:v>Upgrade</x:v>
      </x:c>
      <x:c r="J6" s="46" t="str">
        <x:v>Description</x:v>
      </x:c>
      <x:c r="K6" s="46" t="str">
        <x:v>Numerical Change</x:v>
      </x:c>
      <x:c r="L6" s="46" t="str">
        <x:v>Cost</x:v>
      </x:c>
      <x:c r="M6" s="47" t="str">
        <x:v>Cumulative</x:v>
      </x:c>
    </x:row>
    <x:row r="7" ht="52" customHeight="1">
      <x:c r="A7" s="106" t="n">
        <x:v>1</x:v>
      </x:c>
      <x:c r="B7" s="48" t="str">
        <x:v>Combat Drones</x:v>
      </x:c>
      <x:c r="C7" s="48" t="str">
        <x:v>Increases drone shot damage.</x:v>
      </x:c>
      <x:c r="D7" s="48" t="str">
        <x:v>+25% drone damage</x:v>
      </x:c>
      <x:c r="E7" s="107" t="n">
        <x:v>1</x:v>
      </x:c>
      <x:c r="F7" s="107" t="n">
        <x:f>E7</x:f>
        <x:v>1</x:v>
      </x:c>
      <x:c r="G7" s="103"/>
      <x:c r="H7" s="106" t="n">
        <x:v>1</x:v>
      </x:c>
      <x:c r="I7" s="48" t="str">
        <x:v>Salvage Network</x:v>
      </x:c>
      <x:c r="J7" s="48" t="str">
        <x:v>Increases drone pickup range.</x:v>
      </x:c>
      <x:c r="K7" s="48" t="str">
        <x:v>+50% collection radius</x:v>
      </x:c>
      <x:c r="L7" s="107" t="n">
        <x:v>1</x:v>
      </x:c>
      <x:c r="M7" s="107" t="n">
        <x:f>L7</x:f>
        <x:v>1</x:v>
      </x:c>
    </x:row>
    <x:row r="8" ht="52" customHeight="1">
      <x:c r="A8" s="108" t="n">
        <x:v>2</x:v>
      </x:c>
      <x:c r="B8" s="50" t="str">
        <x:v>Interceptor Logic</x:v>
      </x:c>
      <x:c r="C8" s="50" t="str">
        <x:v>Drones prioritize bombs and plasma over ships.</x:v>
      </x:c>
      <x:c r="D8" s="50" t="str">
        <x:v>Payload priority</x:v>
      </x:c>
      <x:c r="E8" s="109" t="n">
        <x:v>2</x:v>
      </x:c>
      <x:c r="F8" s="109" t="n">
        <x:f>F7+E8</x:f>
        <x:v>3</x:v>
      </x:c>
      <x:c r="G8" s="103"/>
      <x:c r="H8" s="108" t="n">
        <x:v>2</x:v>
      </x:c>
      <x:c r="I8" s="50" t="str">
        <x:v>Cargo Relay</x:v>
      </x:c>
      <x:c r="J8" s="50" t="str">
        <x:v>Collected debris is worth more.</x:v>
      </x:c>
      <x:c r="K8" s="50" t="str">
        <x:v>+20% debris value</x:v>
      </x:c>
      <x:c r="L8" s="109" t="n">
        <x:v>2</x:v>
      </x:c>
      <x:c r="M8" s="109" t="n">
        <x:f>M7+L8</x:f>
        <x:v>3</x:v>
      </x:c>
    </x:row>
    <x:row r="9" ht="52" customHeight="1">
      <x:c r="A9" s="108" t="n">
        <x:v>3</x:v>
      </x:c>
      <x:c r="B9" s="50" t="str">
        <x:v>Coordinated Fire</x:v>
      </x:c>
      <x:c r="C9" s="50" t="str">
        <x:v>Multiple drones focus damaged priority targets.</x:v>
      </x:c>
      <x:c r="D9" s="50" t="str">
        <x:v>Shared target logic</x:v>
      </x:c>
      <x:c r="E9" s="109" t="n">
        <x:v>3</x:v>
      </x:c>
      <x:c r="F9" s="109" t="n">
        <x:f>F8+E9</x:f>
        <x:v>6</x:v>
      </x:c>
      <x:c r="G9" s="103"/>
      <x:c r="H9" s="108" t="n">
        <x:v>3</x:v>
      </x:c>
      <x:c r="I9" s="50" t="str">
        <x:v>Repair Wing</x:v>
      </x:c>
      <x:c r="J9" s="50" t="str">
        <x:v>Drones slowly restore base integrity.</x:v>
      </x:c>
      <x:c r="K9" s="50" t="str">
        <x:v>+1.2 HP/sec</x:v>
      </x:c>
      <x:c r="L9" s="109" t="n">
        <x:v>3</x:v>
      </x:c>
      <x:c r="M9" s="109" t="n">
        <x:f>M8+L9</x:f>
        <x:v>6</x:v>
      </x:c>
    </x:row>
    <x:row r="10" ht="52" customHeight="1">
      <x:c r="A10" s="108" t="n">
        <x:v>4</x:v>
      </x:c>
      <x:c r="B10" s="50" t="str">
        <x:v>Point Defense</x:v>
      </x:c>
      <x:c r="C10" s="50" t="str">
        <x:v>Drones can destroy nearby hostile shots instantly on a timer.</x:v>
      </x:c>
      <x:c r="D10" s="50" t="str">
        <x:v>1 intercept per 5 sec</x:v>
      </x:c>
      <x:c r="E10" s="109" t="n">
        <x:v>4</x:v>
      </x:c>
      <x:c r="F10" s="109" t="n">
        <x:f>F9+E10</x:f>
        <x:v>10</x:v>
      </x:c>
      <x:c r="G10" s="103"/>
      <x:c r="H10" s="108" t="n">
        <x:v>4</x:v>
      </x:c>
      <x:c r="I10" s="50" t="str">
        <x:v>Emergency Patch</x:v>
      </x:c>
      <x:c r="J10" s="50" t="str">
        <x:v>Drones repair the base after a payload impact.</x:v>
      </x:c>
      <x:c r="K10" s="50" t="str">
        <x:v>Restore 20% of hit damage</x:v>
      </x:c>
      <x:c r="L10" s="109" t="n">
        <x:v>4</x:v>
      </x:c>
      <x:c r="M10" s="109" t="n">
        <x:f>M9+L10</x:f>
        <x:v>10</x:v>
      </x:c>
    </x:row>
    <x:row r="11" ht="52" customHeight="1">
      <x:c r="A11" s="108" t="n">
        <x:v>5</x:v>
      </x:c>
      <x:c r="B11" s="50" t="str">
        <x:v>Guardian Wing</x:v>
      </x:c>
      <x:c r="C11" s="50" t="str">
        <x:v>Adds two elite drones with stronger weapons.</x:v>
      </x:c>
      <x:c r="D11" s="50" t="str">
        <x:v>+2 elite drones</x:v>
      </x:c>
      <x:c r="E11" s="109" t="n">
        <x:v>5</x:v>
      </x:c>
      <x:c r="F11" s="109" t="n">
        <x:f>F10+E11</x:f>
        <x:v>15</x:v>
      </x:c>
      <x:c r="G11" s="103"/>
      <x:c r="H11" s="108" t="n">
        <x:v>5</x:v>
      </x:c>
      <x:c r="I11" s="50" t="str">
        <x:v>Autonomous Foundry</x:v>
      </x:c>
      <x:c r="J11" s="50" t="str">
        <x:v>Drones periodically create one debris during combat.</x:v>
      </x:c>
      <x:c r="K11" s="50" t="str">
        <x:v>1 debris per 18 sec</x:v>
      </x:c>
      <x:c r="L11" s="109" t="n">
        <x:v>5</x:v>
      </x:c>
      <x:c r="M11" s="109" t="n">
        <x:f>M10+L11</x:f>
        <x:v>15</x:v>
      </x:c>
    </x:row>
    <x:row r="12">
      <x:c r="A12" s="43"/>
      <x:c r="B12" s="43"/>
      <x:c r="C12" s="43"/>
      <x:c r="D12" s="43"/>
      <x:c r="E12" s="43"/>
      <x:c r="F12" s="43"/>
      <x:c r="G12" s="103"/>
      <x:c r="H12" s="43"/>
      <x:c r="I12" s="43"/>
      <x:c r="J12" s="43"/>
      <x:c r="K12" s="43"/>
      <x:c r="L12" s="43"/>
      <x:c r="M12" s="43"/>
    </x:row>
    <x:row r="13" ht="30" customHeight="1">
      <x:c r="A13" s="110" t="str">
        <x:v>Branch rule: tiers are sequential; choose whether branches are exclusive or mixable during implementation.</x:v>
      </x:c>
      <x:c r="B13" s="110"/>
      <x:c r="C13" s="110"/>
      <x:c r="D13" s="110"/>
      <x:c r="E13" s="110"/>
      <x:c r="F13" s="110"/>
      <x:c r="G13" s="103"/>
      <x:c r="H13" s="110" t="str">
        <x:v>Branch rule: tiers are sequential; choose whether branches are exclusive or mixable during implementation.</x:v>
      </x:c>
      <x:c r="I13" s="110"/>
      <x:c r="J13" s="110"/>
      <x:c r="K13" s="110"/>
      <x:c r="L13" s="110"/>
      <x:c r="M13" s="110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111" t="str">
        <x:v>Designer Notes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</x:row>
    <x:row r="16" ht="24" customHeight="1">
      <x:c r="A16" s="112" t="str">
        <x:v>Editable notes: tune numerical values, branch exclusivity, and prerequisite rules after playtesting.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</x:row>
    <x:row r="17" ht="24" customHeight="1">
      <x:c r="A17" s="115"/>
      <x:c r="B17" s="116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6"/>
      <x:c r="M17" s="117"/>
    </x:row>
    <x:row r="18" ht="24" customHeight="1">
      <x:c r="A18" s="115"/>
      <x:c r="B18" s="116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6"/>
      <x:c r="M18" s="117"/>
    </x:row>
    <x:row r="19" ht="24" customHeight="1">
      <x:c r="A19" s="118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20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</x:sheetData>
  <x:mergeCells>
    <x:mergeCell ref="A1:M1"/>
    <x:mergeCell ref="A2:M2"/>
    <x:mergeCell ref="A4:F4"/>
    <x:mergeCell ref="A5:F5"/>
    <x:mergeCell ref="A13:F13"/>
    <x:mergeCell ref="H4:M4"/>
    <x:mergeCell ref="H5:M5"/>
    <x:mergeCell ref="H13:M13"/>
    <x:mergeCell ref="A15:M15"/>
    <x:mergeCell ref="A16:M19"/>
  </x:mergeCells>
  <x:pageMargins left="0.7" right="0.7" top="0.75" bottom="0.75" header="0.3" footer="0.3"/>
  <x:legacyDrawing xmlns:r="http://schemas.openxmlformats.org/officeDocument/2006/relationships" r:id="Rdf38cae0b41f47c6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3" hidden="0" customWidth="1"/>
    <x:col min="1" max="1" width="7" hidden="0" customWidth="1"/>
    <x:col min="2" max="2" width="22" hidden="0" customWidth="1"/>
    <x:col min="3" max="3" width="38" hidden="0" customWidth="1"/>
    <x:col min="4" max="4" width="25" hidden="0" customWidth="1"/>
    <x:col min="5" max="5" width="9" hidden="0" customWidth="1"/>
    <x:col min="6" max="6" width="12" hidden="0" customWidth="1"/>
    <x:col min="8" max="8" width="7" hidden="0" customWidth="1"/>
    <x:col min="9" max="9" width="22" hidden="0" customWidth="1"/>
    <x:col min="10" max="10" width="38" hidden="0" customWidth="1"/>
    <x:col min="11" max="11" width="25" hidden="0" customWidth="1"/>
    <x:col min="12" max="12" width="9" hidden="0" customWidth="1"/>
    <x:col min="13" max="13" width="12" hidden="0" customWidth="1"/>
  </x:cols>
  <x:sheetData>
    <x:row r="1" ht="34" customHeight="1">
      <x:c r="A1" s="42" t="str">
        <x:v>Scatter Core Upgrade Tree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8" customHeight="1">
      <x:c r="A2" s="44" t="str">
        <x:v>Unguided multi-shot main weapon | Control: Passive</x:v>
      </x:c>
      <x:c r="B2" s="44" t="str">
        <x:v>Unguided multi-shot main weapon | Control: Passive</x:v>
      </x:c>
      <x:c r="C2" s="44" t="str">
        <x:v>Unguided multi-shot main weapon | Control: Passive</x:v>
      </x:c>
      <x:c r="D2" s="44" t="str">
        <x:v>Unguided multi-shot main weapon | Control: Passive</x:v>
      </x:c>
      <x:c r="E2" s="44" t="str">
        <x:v>Unguided multi-shot main weapon | Control: Passive</x:v>
      </x:c>
      <x:c r="F2" s="44" t="str">
        <x:v>Unguided multi-shot main weapon | Control: Passive</x:v>
      </x:c>
      <x:c r="G2" s="44" t="str">
        <x:v>Unguided multi-shot main weapon | Control: Passive</x:v>
      </x:c>
      <x:c r="H2" s="44" t="str">
        <x:v>Unguided multi-shot main weapon | Control: Passive</x:v>
      </x:c>
      <x:c r="I2" s="44" t="str">
        <x:v>Unguided multi-shot main weapon | Control: Passive</x:v>
      </x:c>
      <x:c r="J2" s="44" t="str">
        <x:v>Unguided multi-shot main weapon | Control: Passive</x:v>
      </x:c>
      <x:c r="K2" s="44" t="str">
        <x:v>Unguided multi-shot main weapon | Control: Passive</x:v>
      </x:c>
      <x:c r="L2" s="44" t="str">
        <x:v>Unguided multi-shot main weapon | Control: Passive</x:v>
      </x:c>
      <x:c r="M2" s="44" t="str">
        <x:v>Unguided multi-shot main weapon | Control: Passive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 ht="26" customHeight="1">
      <x:c r="A4" s="102" t="str">
        <x:v>Fusillade Array</x:v>
      </x:c>
      <x:c r="B4" s="102"/>
      <x:c r="C4" s="102"/>
      <x:c r="D4" s="102"/>
      <x:c r="E4" s="102"/>
      <x:c r="F4" s="102"/>
      <x:c r="G4" s="103"/>
      <x:c r="H4" s="104" t="str">
        <x:v>Fragmentation Core</x:v>
      </x:c>
      <x:c r="I4" s="104"/>
      <x:c r="J4" s="104"/>
      <x:c r="K4" s="104"/>
      <x:c r="L4" s="104"/>
      <x:c r="M4" s="104"/>
    </x:row>
    <x:row r="5" ht="34" customHeight="1">
      <x:c r="A5" s="105" t="str">
        <x:v>Adds more projectiles and wider coverage.</x:v>
      </x:c>
      <x:c r="B5" s="105"/>
      <x:c r="C5" s="105"/>
      <x:c r="D5" s="105"/>
      <x:c r="E5" s="105"/>
      <x:c r="F5" s="105"/>
      <x:c r="G5" s="103"/>
      <x:c r="H5" s="105" t="str">
        <x:v>Keeps a tighter volley but adds impact effects and penetration.</x:v>
      </x:c>
      <x:c r="I5" s="105"/>
      <x:c r="J5" s="105"/>
      <x:c r="K5" s="105"/>
      <x:c r="L5" s="105"/>
      <x:c r="M5" s="105"/>
    </x:row>
    <x:row r="6">
      <x:c r="A6" s="45" t="str">
        <x:v>Tier</x:v>
      </x:c>
      <x:c r="B6" s="46" t="str">
        <x:v>Upgrade</x:v>
      </x:c>
      <x:c r="C6" s="46" t="str">
        <x:v>Description</x:v>
      </x:c>
      <x:c r="D6" s="46" t="str">
        <x:v>Numerical Change</x:v>
      </x:c>
      <x:c r="E6" s="46" t="str">
        <x:v>Cost</x:v>
      </x:c>
      <x:c r="F6" s="47" t="str">
        <x:v>Cumulative</x:v>
      </x:c>
      <x:c r="G6" s="103"/>
      <x:c r="H6" s="45" t="str">
        <x:v>Tier</x:v>
      </x:c>
      <x:c r="I6" s="46" t="str">
        <x:v>Upgrade</x:v>
      </x:c>
      <x:c r="J6" s="46" t="str">
        <x:v>Description</x:v>
      </x:c>
      <x:c r="K6" s="46" t="str">
        <x:v>Numerical Change</x:v>
      </x:c>
      <x:c r="L6" s="46" t="str">
        <x:v>Cost</x:v>
      </x:c>
      <x:c r="M6" s="47" t="str">
        <x:v>Cumulative</x:v>
      </x:c>
    </x:row>
    <x:row r="7" ht="52" customHeight="1">
      <x:c r="A7" s="106" t="n">
        <x:v>1</x:v>
      </x:c>
      <x:c r="B7" s="48" t="str">
        <x:v>Triple Volley</x:v>
      </x:c>
      <x:c r="C7" s="48" t="str">
        <x:v>Converts the cannon into a three-shot spread.</x:v>
      </x:c>
      <x:c r="D7" s="48" t="str">
        <x:v>3 projectiles</x:v>
      </x:c>
      <x:c r="E7" s="107" t="n">
        <x:v>1</x:v>
      </x:c>
      <x:c r="F7" s="107" t="n">
        <x:f>E7</x:f>
        <x:v>1</x:v>
      </x:c>
      <x:c r="G7" s="103"/>
      <x:c r="H7" s="106" t="n">
        <x:v>1</x:v>
      </x:c>
      <x:c r="I7" s="48" t="str">
        <x:v>Tight Formation</x:v>
      </x:c>
      <x:c r="J7" s="48" t="str">
        <x:v>Narrows the spread and improves individual projectile damage.</x:v>
      </x:c>
      <x:c r="K7" s="48" t="str">
        <x:v>+12% pellet damage</x:v>
      </x:c>
      <x:c r="L7" s="107" t="n">
        <x:v>1</x:v>
      </x:c>
      <x:c r="M7" s="107" t="n">
        <x:f>L7</x:f>
        <x:v>1</x:v>
      </x:c>
    </x:row>
    <x:row r="8" ht="52" customHeight="1">
      <x:c r="A8" s="108" t="n">
        <x:v>2</x:v>
      </x:c>
      <x:c r="B8" s="50" t="str">
        <x:v>Wide Formation</x:v>
      </x:c>
      <x:c r="C8" s="50" t="str">
        <x:v>Increases spacing between spread projectiles.</x:v>
      </x:c>
      <x:c r="D8" s="50" t="str">
        <x:v>+30% spread angle</x:v>
      </x:c>
      <x:c r="E8" s="109" t="n">
        <x:v>2</x:v>
      </x:c>
      <x:c r="F8" s="109" t="n">
        <x:f>F7+E8</x:f>
        <x:v>3</x:v>
      </x:c>
      <x:c r="G8" s="103"/>
      <x:c r="H8" s="108" t="n">
        <x:v>2</x:v>
      </x:c>
      <x:c r="I8" s="50" t="str">
        <x:v>Dense Pellets</x:v>
      </x:c>
      <x:c r="J8" s="50" t="str">
        <x:v>Spread projectiles deal increased payload damage.</x:v>
      </x:c>
      <x:c r="K8" s="50" t="str">
        <x:v>+40% payload damage</x:v>
      </x:c>
      <x:c r="L8" s="109" t="n">
        <x:v>2</x:v>
      </x:c>
      <x:c r="M8" s="109" t="n">
        <x:f>M7+L8</x:f>
        <x:v>3</x:v>
      </x:c>
    </x:row>
    <x:row r="9" ht="52" customHeight="1">
      <x:c r="A9" s="108" t="n">
        <x:v>3</x:v>
      </x:c>
      <x:c r="B9" s="50" t="str">
        <x:v>Fusillade Array</x:v>
      </x:c>
      <x:c r="C9" s="50" t="str">
        <x:v>Expands the volley to five projectiles.</x:v>
      </x:c>
      <x:c r="D9" s="50" t="str">
        <x:v>5 projectiles</x:v>
      </x:c>
      <x:c r="E9" s="109" t="n">
        <x:v>3</x:v>
      </x:c>
      <x:c r="F9" s="109" t="n">
        <x:f>F8+E9</x:f>
        <x:v>6</x:v>
      </x:c>
      <x:c r="G9" s="103"/>
      <x:c r="H9" s="108" t="n">
        <x:v>3</x:v>
      </x:c>
      <x:c r="I9" s="50" t="str">
        <x:v>Fragmenting Volley</x:v>
      </x:c>
      <x:c r="J9" s="50" t="str">
        <x:v>Impacts damage nearby targets.</x:v>
      </x:c>
      <x:c r="K9" s="50" t="str">
        <x:v>45 px splash</x:v>
      </x:c>
      <x:c r="L9" s="109" t="n">
        <x:v>3</x:v>
      </x:c>
      <x:c r="M9" s="109" t="n">
        <x:f>M8+L9</x:f>
        <x:v>6</x:v>
      </x:c>
    </x:row>
    <x:row r="10" ht="52" customHeight="1">
      <x:c r="A10" s="108" t="n">
        <x:v>4</x:v>
      </x:c>
      <x:c r="B10" s="50" t="str">
        <x:v>Wing Cannons</x:v>
      </x:c>
      <x:c r="C10" s="50" t="str">
        <x:v>Adds two low-damage outer projectiles.</x:v>
      </x:c>
      <x:c r="D10" s="50" t="str">
        <x:v>7 projectiles</x:v>
      </x:c>
      <x:c r="E10" s="109" t="n">
        <x:v>4</x:v>
      </x:c>
      <x:c r="F10" s="109" t="n">
        <x:f>F9+E10</x:f>
        <x:v>10</x:v>
      </x:c>
      <x:c r="G10" s="103"/>
      <x:c r="H10" s="108" t="n">
        <x:v>4</x:v>
      </x:c>
      <x:c r="I10" s="50" t="str">
        <x:v>Shatter Rounds</x:v>
      </x:c>
      <x:c r="J10" s="50" t="str">
        <x:v>Destroyed payloads create damaging fragments.</x:v>
      </x:c>
      <x:c r="K10" s="50" t="str">
        <x:v>3 fragments</x:v>
      </x:c>
      <x:c r="L10" s="109" t="n">
        <x:v>4</x:v>
      </x:c>
      <x:c r="M10" s="109" t="n">
        <x:f>M9+L10</x:f>
        <x:v>10</x:v>
      </x:c>
    </x:row>
    <x:row r="11" ht="52" customHeight="1">
      <x:c r="A11" s="108" t="n">
        <x:v>5</x:v>
      </x:c>
      <x:c r="B11" s="50" t="str">
        <x:v>Barrage Core</x:v>
      </x:c>
      <x:c r="C11" s="50" t="str">
        <x:v>Fires nine projectiles in a broad defensive fan.</x:v>
      </x:c>
      <x:c r="D11" s="50" t="str">
        <x:v>9 projectiles</x:v>
      </x:c>
      <x:c r="E11" s="109" t="n">
        <x:v>5</x:v>
      </x:c>
      <x:c r="F11" s="109" t="n">
        <x:f>F10+E11</x:f>
        <x:v>15</x:v>
      </x:c>
      <x:c r="G11" s="103"/>
      <x:c r="H11" s="108" t="n">
        <x:v>5</x:v>
      </x:c>
      <x:c r="I11" s="50" t="str">
        <x:v>Breach Volley</x:v>
      </x:c>
      <x:c r="J11" s="50" t="str">
        <x:v>Every pellet penetrates one additional target.</x:v>
      </x:c>
      <x:c r="K11" s="50" t="str">
        <x:v>+1 penetration</x:v>
      </x:c>
      <x:c r="L11" s="109" t="n">
        <x:v>5</x:v>
      </x:c>
      <x:c r="M11" s="109" t="n">
        <x:f>M10+L11</x:f>
        <x:v>15</x:v>
      </x:c>
    </x:row>
    <x:row r="12">
      <x:c r="A12" s="43"/>
      <x:c r="B12" s="43"/>
      <x:c r="C12" s="43"/>
      <x:c r="D12" s="43"/>
      <x:c r="E12" s="43"/>
      <x:c r="F12" s="43"/>
      <x:c r="G12" s="103"/>
      <x:c r="H12" s="43"/>
      <x:c r="I12" s="43"/>
      <x:c r="J12" s="43"/>
      <x:c r="K12" s="43"/>
      <x:c r="L12" s="43"/>
      <x:c r="M12" s="43"/>
    </x:row>
    <x:row r="13" ht="30" customHeight="1">
      <x:c r="A13" s="110" t="str">
        <x:v>Branch rule: tiers are sequential; choose whether branches are exclusive or mixable during implementation.</x:v>
      </x:c>
      <x:c r="B13" s="110"/>
      <x:c r="C13" s="110"/>
      <x:c r="D13" s="110"/>
      <x:c r="E13" s="110"/>
      <x:c r="F13" s="110"/>
      <x:c r="G13" s="103"/>
      <x:c r="H13" s="110" t="str">
        <x:v>Branch rule: tiers are sequential; choose whether branches are exclusive or mixable during implementation.</x:v>
      </x:c>
      <x:c r="I13" s="110"/>
      <x:c r="J13" s="110"/>
      <x:c r="K13" s="110"/>
      <x:c r="L13" s="110"/>
      <x:c r="M13" s="110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111" t="str">
        <x:v>Designer Notes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</x:row>
    <x:row r="16" ht="24" customHeight="1">
      <x:c r="A16" s="112" t="str">
        <x:v>Editable notes: tune numerical values, branch exclusivity, and prerequisite rules after playtesting.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</x:row>
    <x:row r="17" ht="24" customHeight="1">
      <x:c r="A17" s="115"/>
      <x:c r="B17" s="116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6"/>
      <x:c r="M17" s="117"/>
    </x:row>
    <x:row r="18" ht="24" customHeight="1">
      <x:c r="A18" s="115"/>
      <x:c r="B18" s="116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6"/>
      <x:c r="M18" s="117"/>
    </x:row>
    <x:row r="19" ht="24" customHeight="1">
      <x:c r="A19" s="118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20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</x:sheetData>
  <x:mergeCells>
    <x:mergeCell ref="A1:M1"/>
    <x:mergeCell ref="A2:M2"/>
    <x:mergeCell ref="A4:F4"/>
    <x:mergeCell ref="A5:F5"/>
    <x:mergeCell ref="A13:F13"/>
    <x:mergeCell ref="H4:M4"/>
    <x:mergeCell ref="H5:M5"/>
    <x:mergeCell ref="H13:M13"/>
    <x:mergeCell ref="A15:M15"/>
    <x:mergeCell ref="A16:M19"/>
  </x:mergeCells>
  <x:pageMargins left="0.7" right="0.7" top="0.75" bottom="0.75" header="0.3" footer="0.3"/>
  <x:legacyDrawing xmlns:r="http://schemas.openxmlformats.org/officeDocument/2006/relationships" r:id="Rc4a6181aef204294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3" hidden="0" customWidth="1"/>
    <x:col min="1" max="1" width="7" hidden="0" customWidth="1"/>
    <x:col min="2" max="2" width="22" hidden="0" customWidth="1"/>
    <x:col min="3" max="3" width="38" hidden="0" customWidth="1"/>
    <x:col min="4" max="4" width="25" hidden="0" customWidth="1"/>
    <x:col min="5" max="5" width="9" hidden="0" customWidth="1"/>
    <x:col min="6" max="6" width="12" hidden="0" customWidth="1"/>
    <x:col min="8" max="8" width="7" hidden="0" customWidth="1"/>
    <x:col min="9" max="9" width="22" hidden="0" customWidth="1"/>
    <x:col min="10" max="10" width="38" hidden="0" customWidth="1"/>
    <x:col min="11" max="11" width="25" hidden="0" customWidth="1"/>
    <x:col min="12" max="12" width="9" hidden="0" customWidth="1"/>
    <x:col min="13" max="13" width="12" hidden="0" customWidth="1"/>
  </x:cols>
  <x:sheetData>
    <x:row r="1" ht="34" customHeight="1">
      <x:c r="A1" s="42" t="str">
        <x:v>Seeking Matrix Upgrade Tree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</x:row>
    <x:row r="2" ht="28" customHeight="1">
      <x:c r="A2" s="44" t="str">
        <x:v>Homing main-weapon mutation | Control: Passive</x:v>
      </x:c>
      <x:c r="B2" s="44" t="str">
        <x:v>Homing main-weapon mutation | Control: Passive</x:v>
      </x:c>
      <x:c r="C2" s="44" t="str">
        <x:v>Homing main-weapon mutation | Control: Passive</x:v>
      </x:c>
      <x:c r="D2" s="44" t="str">
        <x:v>Homing main-weapon mutation | Control: Passive</x:v>
      </x:c>
      <x:c r="E2" s="44" t="str">
        <x:v>Homing main-weapon mutation | Control: Passive</x:v>
      </x:c>
      <x:c r="F2" s="44" t="str">
        <x:v>Homing main-weapon mutation | Control: Passive</x:v>
      </x:c>
      <x:c r="G2" s="44" t="str">
        <x:v>Homing main-weapon mutation | Control: Passive</x:v>
      </x:c>
      <x:c r="H2" s="44" t="str">
        <x:v>Homing main-weapon mutation | Control: Passive</x:v>
      </x:c>
      <x:c r="I2" s="44" t="str">
        <x:v>Homing main-weapon mutation | Control: Passive</x:v>
      </x:c>
      <x:c r="J2" s="44" t="str">
        <x:v>Homing main-weapon mutation | Control: Passive</x:v>
      </x:c>
      <x:c r="K2" s="44" t="str">
        <x:v>Homing main-weapon mutation | Control: Passive</x:v>
      </x:c>
      <x:c r="L2" s="44" t="str">
        <x:v>Homing main-weapon mutation | Control: Passive</x:v>
      </x:c>
      <x:c r="M2" s="44" t="str">
        <x:v>Homing main-weapon mutation | Control: Passive</x:v>
      </x:c>
    </x:row>
    <x:row r="3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</x:row>
    <x:row r="4" ht="26" customHeight="1">
      <x:c r="A4" s="102" t="str">
        <x:v>Guidance Matrix</x:v>
      </x:c>
      <x:c r="B4" s="102"/>
      <x:c r="C4" s="102"/>
      <x:c r="D4" s="102"/>
      <x:c r="E4" s="102"/>
      <x:c r="F4" s="102"/>
      <x:c r="G4" s="103"/>
      <x:c r="H4" s="104" t="str">
        <x:v>Hunter Matrix</x:v>
      </x:c>
      <x:c r="I4" s="104"/>
      <x:c r="J4" s="104"/>
      <x:c r="K4" s="104"/>
      <x:c r="L4" s="104"/>
      <x:c r="M4" s="104"/>
    </x:row>
    <x:row r="5" ht="34" customHeight="1">
      <x:c r="A5" s="105" t="str">
        <x:v>Improves tracking, reacquisition, and multi-target performance.</x:v>
      </x:c>
      <x:c r="B5" s="105"/>
      <x:c r="C5" s="105"/>
      <x:c r="D5" s="105"/>
      <x:c r="E5" s="105"/>
      <x:c r="F5" s="105"/>
      <x:c r="G5" s="103"/>
      <x:c r="H5" s="105" t="str">
        <x:v>Trades some broad tracking for penetration and priority-target damage.</x:v>
      </x:c>
      <x:c r="I5" s="105"/>
      <x:c r="J5" s="105"/>
      <x:c r="K5" s="105"/>
      <x:c r="L5" s="105"/>
      <x:c r="M5" s="105"/>
    </x:row>
    <x:row r="6">
      <x:c r="A6" s="45" t="str">
        <x:v>Tier</x:v>
      </x:c>
      <x:c r="B6" s="46" t="str">
        <x:v>Upgrade</x:v>
      </x:c>
      <x:c r="C6" s="46" t="str">
        <x:v>Description</x:v>
      </x:c>
      <x:c r="D6" s="46" t="str">
        <x:v>Numerical Change</x:v>
      </x:c>
      <x:c r="E6" s="46" t="str">
        <x:v>Cost</x:v>
      </x:c>
      <x:c r="F6" s="47" t="str">
        <x:v>Cumulative</x:v>
      </x:c>
      <x:c r="G6" s="103"/>
      <x:c r="H6" s="45" t="str">
        <x:v>Tier</x:v>
      </x:c>
      <x:c r="I6" s="46" t="str">
        <x:v>Upgrade</x:v>
      </x:c>
      <x:c r="J6" s="46" t="str">
        <x:v>Description</x:v>
      </x:c>
      <x:c r="K6" s="46" t="str">
        <x:v>Numerical Change</x:v>
      </x:c>
      <x:c r="L6" s="46" t="str">
        <x:v>Cost</x:v>
      </x:c>
      <x:c r="M6" s="47" t="str">
        <x:v>Cumulative</x:v>
      </x:c>
    </x:row>
    <x:row r="7" ht="52" customHeight="1">
      <x:c r="A7" s="106" t="n">
        <x:v>1</x:v>
      </x:c>
      <x:c r="B7" s="48" t="str">
        <x:v>Vector Guidance</x:v>
      </x:c>
      <x:c r="C7" s="48" t="str">
        <x:v>Increases guided-round turning strength.</x:v>
      </x:c>
      <x:c r="D7" s="48" t="str">
        <x:v>+35% turn rate</x:v>
      </x:c>
      <x:c r="E7" s="107" t="n">
        <x:v>1</x:v>
      </x:c>
      <x:c r="F7" s="107" t="n">
        <x:f>E7</x:f>
        <x:v>1</x:v>
      </x:c>
      <x:c r="G7" s="103"/>
      <x:c r="H7" s="106" t="n">
        <x:v>1</x:v>
      </x:c>
      <x:c r="I7" s="48" t="str">
        <x:v>Hunter Rounds</x:v>
      </x:c>
      <x:c r="J7" s="48" t="str">
        <x:v>Guided rounds deal additional damage to elites.</x:v>
      </x:c>
      <x:c r="K7" s="48" t="str">
        <x:v>+25% elite damage</x:v>
      </x:c>
      <x:c r="L7" s="107" t="n">
        <x:v>1</x:v>
      </x:c>
      <x:c r="M7" s="107" t="n">
        <x:f>L7</x:f>
        <x:v>1</x:v>
      </x:c>
    </x:row>
    <x:row r="8" ht="52" customHeight="1">
      <x:c r="A8" s="108" t="n">
        <x:v>2</x:v>
      </x:c>
      <x:c r="B8" s="50" t="str">
        <x:v>Smart Reacquisition</x:v>
      </x:c>
      <x:c r="C8" s="50" t="str">
        <x:v>Rounds immediately seek a new target after a kill.</x:v>
      </x:c>
      <x:c r="D8" s="50" t="str">
        <x:v>Instant retarget</x:v>
      </x:c>
      <x:c r="E8" s="109" t="n">
        <x:v>2</x:v>
      </x:c>
      <x:c r="F8" s="109" t="n">
        <x:f>F7+E8</x:f>
        <x:v>3</x:v>
      </x:c>
      <x:c r="G8" s="103"/>
      <x:c r="H8" s="108" t="n">
        <x:v>2</x:v>
      </x:c>
      <x:c r="I8" s="50" t="str">
        <x:v>Boss Lock</x:v>
      </x:c>
      <x:c r="J8" s="50" t="str">
        <x:v>Guided rounds prioritize bosses while one is present.</x:v>
      </x:c>
      <x:c r="K8" s="50" t="str">
        <x:v>Boss priority</x:v>
      </x:c>
      <x:c r="L8" s="109" t="n">
        <x:v>2</x:v>
      </x:c>
      <x:c r="M8" s="109" t="n">
        <x:f>M7+L8</x:f>
        <x:v>3</x:v>
      </x:c>
    </x:row>
    <x:row r="9" ht="52" customHeight="1">
      <x:c r="A9" s="108" t="n">
        <x:v>3</x:v>
      </x:c>
      <x:c r="B9" s="50" t="str">
        <x:v>Distributed Guidance</x:v>
      </x:c>
      <x:c r="C9" s="50" t="str">
        <x:v>Spread projectiles prefer separate targets.</x:v>
      </x:c>
      <x:c r="D9" s="50" t="str">
        <x:v>Target distribution</x:v>
      </x:c>
      <x:c r="E9" s="109" t="n">
        <x:v>3</x:v>
      </x:c>
      <x:c r="F9" s="109" t="n">
        <x:f>F8+E9</x:f>
        <x:v>6</x:v>
      </x:c>
      <x:c r="G9" s="103"/>
      <x:c r="H9" s="108" t="n">
        <x:v>3</x:v>
      </x:c>
      <x:c r="I9" s="50" t="str">
        <x:v>Piercing Guidance</x:v>
      </x:c>
      <x:c r="J9" s="50" t="str">
        <x:v>Guided rounds pass through one target.</x:v>
      </x:c>
      <x:c r="K9" s="50" t="str">
        <x:v>+1 penetration</x:v>
      </x:c>
      <x:c r="L9" s="109" t="n">
        <x:v>3</x:v>
      </x:c>
      <x:c r="M9" s="109" t="n">
        <x:f>M8+L9</x:f>
        <x:v>6</x:v>
      </x:c>
    </x:row>
    <x:row r="10" ht="52" customHeight="1">
      <x:c r="A10" s="108" t="n">
        <x:v>4</x:v>
      </x:c>
      <x:c r="B10" s="50" t="str">
        <x:v>Predictive Pursuit</x:v>
      </x:c>
      <x:c r="C10" s="50" t="str">
        <x:v>Guided rounds lead moving targets.</x:v>
      </x:c>
      <x:c r="D10" s="50" t="str">
        <x:v>Motion prediction</x:v>
      </x:c>
      <x:c r="E10" s="109" t="n">
        <x:v>4</x:v>
      </x:c>
      <x:c r="F10" s="109" t="n">
        <x:f>F9+E10</x:f>
        <x:v>10</x:v>
      </x:c>
      <x:c r="G10" s="103"/>
      <x:c r="H10" s="108" t="n">
        <x:v>4</x:v>
      </x:c>
      <x:c r="I10" s="50" t="str">
        <x:v>Weak-Point Logic</x:v>
      </x:c>
      <x:c r="J10" s="50" t="str">
        <x:v>Guided rounds gain damage after sustained tracking.</x:v>
      </x:c>
      <x:c r="K10" s="50" t="str">
        <x:v>Up to +35% damage</x:v>
      </x:c>
      <x:c r="L10" s="109" t="n">
        <x:v>4</x:v>
      </x:c>
      <x:c r="M10" s="109" t="n">
        <x:f>M9+L10</x:f>
        <x:v>10</x:v>
      </x:c>
    </x:row>
    <x:row r="11" ht="52" customHeight="1">
      <x:c r="A11" s="108" t="n">
        <x:v>5</x:v>
      </x:c>
      <x:c r="B11" s="50" t="str">
        <x:v>Perfect Guidance</x:v>
      </x:c>
      <x:c r="C11" s="50" t="str">
        <x:v>Rounds can reverse once to acquire a missed target.</x:v>
      </x:c>
      <x:c r="D11" s="50" t="str">
        <x:v>One reversal</x:v>
      </x:c>
      <x:c r="E11" s="109" t="n">
        <x:v>5</x:v>
      </x:c>
      <x:c r="F11" s="109" t="n">
        <x:f>F10+E11</x:f>
        <x:v>15</x:v>
      </x:c>
      <x:c r="G11" s="103"/>
      <x:c r="H11" s="108" t="n">
        <x:v>5</x:v>
      </x:c>
      <x:c r="I11" s="50" t="str">
        <x:v>Execution Matrix</x:v>
      </x:c>
      <x:c r="J11" s="50" t="str">
        <x:v>Low-health elites and bosses take greatly increased damage.</x:v>
      </x:c>
      <x:c r="K11" s="50" t="str">
        <x:v>+80% below 20% HP</x:v>
      </x:c>
      <x:c r="L11" s="109" t="n">
        <x:v>5</x:v>
      </x:c>
      <x:c r="M11" s="109" t="n">
        <x:f>M10+L11</x:f>
        <x:v>15</x:v>
      </x:c>
    </x:row>
    <x:row r="12">
      <x:c r="A12" s="43"/>
      <x:c r="B12" s="43"/>
      <x:c r="C12" s="43"/>
      <x:c r="D12" s="43"/>
      <x:c r="E12" s="43"/>
      <x:c r="F12" s="43"/>
      <x:c r="G12" s="103"/>
      <x:c r="H12" s="43"/>
      <x:c r="I12" s="43"/>
      <x:c r="J12" s="43"/>
      <x:c r="K12" s="43"/>
      <x:c r="L12" s="43"/>
      <x:c r="M12" s="43"/>
    </x:row>
    <x:row r="13" ht="30" customHeight="1">
      <x:c r="A13" s="110" t="str">
        <x:v>Branch rule: tiers are sequential; choose whether branches are exclusive or mixable during implementation.</x:v>
      </x:c>
      <x:c r="B13" s="110"/>
      <x:c r="C13" s="110"/>
      <x:c r="D13" s="110"/>
      <x:c r="E13" s="110"/>
      <x:c r="F13" s="110"/>
      <x:c r="G13" s="103"/>
      <x:c r="H13" s="110" t="str">
        <x:v>Branch rule: tiers are sequential; choose whether branches are exclusive or mixable during implementation.</x:v>
      </x:c>
      <x:c r="I13" s="110"/>
      <x:c r="J13" s="110"/>
      <x:c r="K13" s="110"/>
      <x:c r="L13" s="110"/>
      <x:c r="M13" s="110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</x:row>
    <x:row r="15">
      <x:c r="A15" s="111" t="str">
        <x:v>Designer Notes</x:v>
      </x:c>
      <x:c r="B15" s="111"/>
      <x:c r="C15" s="111"/>
      <x:c r="D15" s="111"/>
      <x:c r="E15" s="111"/>
      <x:c r="F15" s="111"/>
      <x:c r="G15" s="111"/>
      <x:c r="H15" s="111"/>
      <x:c r="I15" s="111"/>
      <x:c r="J15" s="111"/>
      <x:c r="K15" s="111"/>
      <x:c r="L15" s="111"/>
      <x:c r="M15" s="111"/>
    </x:row>
    <x:row r="16" ht="24" customHeight="1">
      <x:c r="A16" s="112" t="str">
        <x:v>Editable notes: tune numerical values, branch exclusivity, and prerequisite rules after playtesting.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</x:row>
    <x:row r="17" ht="24" customHeight="1">
      <x:c r="A17" s="115"/>
      <x:c r="B17" s="116"/>
      <x:c r="C17" s="116"/>
      <x:c r="D17" s="116"/>
      <x:c r="E17" s="116"/>
      <x:c r="F17" s="116"/>
      <x:c r="G17" s="116"/>
      <x:c r="H17" s="116"/>
      <x:c r="I17" s="116"/>
      <x:c r="J17" s="116"/>
      <x:c r="K17" s="116"/>
      <x:c r="L17" s="116"/>
      <x:c r="M17" s="117"/>
    </x:row>
    <x:row r="18" ht="24" customHeight="1">
      <x:c r="A18" s="115"/>
      <x:c r="B18" s="116"/>
      <x:c r="C18" s="116"/>
      <x:c r="D18" s="116"/>
      <x:c r="E18" s="116"/>
      <x:c r="F18" s="116"/>
      <x:c r="G18" s="116"/>
      <x:c r="H18" s="116"/>
      <x:c r="I18" s="116"/>
      <x:c r="J18" s="116"/>
      <x:c r="K18" s="116"/>
      <x:c r="L18" s="116"/>
      <x:c r="M18" s="117"/>
    </x:row>
    <x:row r="19" ht="24" customHeight="1">
      <x:c r="A19" s="118"/>
      <x:c r="B19" s="119"/>
      <x:c r="C19" s="119"/>
      <x:c r="D19" s="119"/>
      <x:c r="E19" s="119"/>
      <x:c r="F19" s="119"/>
      <x:c r="G19" s="119"/>
      <x:c r="H19" s="119"/>
      <x:c r="I19" s="119"/>
      <x:c r="J19" s="119"/>
      <x:c r="K19" s="119"/>
      <x:c r="L19" s="119"/>
      <x:c r="M19" s="120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</x:row>
  </x:sheetData>
  <x:mergeCells>
    <x:mergeCell ref="A1:M1"/>
    <x:mergeCell ref="A2:M2"/>
    <x:mergeCell ref="A4:F4"/>
    <x:mergeCell ref="A5:F5"/>
    <x:mergeCell ref="A13:F13"/>
    <x:mergeCell ref="H4:M4"/>
    <x:mergeCell ref="H5:M5"/>
    <x:mergeCell ref="H13:M13"/>
    <x:mergeCell ref="A15:M15"/>
    <x:mergeCell ref="A16:M19"/>
  </x:mergeCells>
  <x:pageMargins left="0.7" right="0.7" top="0.75" bottom="0.75" header="0.3" footer="0.3"/>
  <x:legacyDrawing xmlns:r="http://schemas.openxmlformats.org/officeDocument/2006/relationships" r:id="R6ac98400f9f94243"/>
</x:worksheet>
</file>